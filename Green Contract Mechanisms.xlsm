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8"/>
  </bookViews>
  <sheets>
    <sheet name="Sheet1" sheetId="7" r:id="rId1"/>
  </sheets>
  <definedNames>
    <definedName name="solver_adj" localSheetId="0" hidden="1">Sheet1!$B$20:$B$44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Sheet1!$A$20:$A$44</definedName>
    <definedName name="solver_lhs10" localSheetId="0" hidden="1">Sheet1!$A$30</definedName>
    <definedName name="solver_lhs11" localSheetId="0" hidden="1">Sheet1!$A$31</definedName>
    <definedName name="solver_lhs12" localSheetId="0" hidden="1">Sheet1!$A$32</definedName>
    <definedName name="solver_lhs13" localSheetId="0" hidden="1">Sheet1!$A$33</definedName>
    <definedName name="solver_lhs14" localSheetId="0" hidden="1">Sheet1!$A$34</definedName>
    <definedName name="solver_lhs15" localSheetId="0" hidden="1">Sheet1!$A$35</definedName>
    <definedName name="solver_lhs16" localSheetId="0" hidden="1">Sheet1!$A$36</definedName>
    <definedName name="solver_lhs17" localSheetId="0" hidden="1">Sheet1!$A$37</definedName>
    <definedName name="solver_lhs18" localSheetId="0" hidden="1">Sheet1!$A$38</definedName>
    <definedName name="solver_lhs19" localSheetId="0" hidden="1">Sheet1!$A$39</definedName>
    <definedName name="solver_lhs2" localSheetId="0" hidden="1">Sheet1!$B$20:$B$44</definedName>
    <definedName name="solver_lhs20" localSheetId="0" hidden="1">Sheet1!$A$40</definedName>
    <definedName name="solver_lhs21" localSheetId="0" hidden="1">Sheet1!$A$41</definedName>
    <definedName name="solver_lhs22" localSheetId="0" hidden="1">Sheet1!$A$42</definedName>
    <definedName name="solver_lhs23" localSheetId="0" hidden="1">Sheet1!$A$43</definedName>
    <definedName name="solver_lhs24" localSheetId="0" hidden="1">Sheet1!$A$44</definedName>
    <definedName name="solver_lhs25" localSheetId="0" hidden="1">Sheet1!$A$45</definedName>
    <definedName name="solver_lhs26" localSheetId="0" hidden="1">Sheet1!$A$46</definedName>
    <definedName name="solver_lhs27" localSheetId="0" hidden="1">Sheet1!$A$47</definedName>
    <definedName name="solver_lhs28" localSheetId="0" hidden="1">Sheet1!$A$48</definedName>
    <definedName name="solver_lhs29" localSheetId="0" hidden="1">Sheet1!$A$49</definedName>
    <definedName name="solver_lhs3" localSheetId="0" hidden="1">Sheet1!$C$25:$C$44</definedName>
    <definedName name="solver_lhs30" localSheetId="0" hidden="1">Sheet1!$B$20</definedName>
    <definedName name="solver_lhs31" localSheetId="0" hidden="1">Sheet1!$B$21</definedName>
    <definedName name="solver_lhs32" localSheetId="0" hidden="1">Sheet1!$B$22</definedName>
    <definedName name="solver_lhs33" localSheetId="0" hidden="1">Sheet1!$B$23</definedName>
    <definedName name="solver_lhs34" localSheetId="0" hidden="1">Sheet1!$B$24</definedName>
    <definedName name="solver_lhs35" localSheetId="0" hidden="1">Sheet1!$B$25</definedName>
    <definedName name="solver_lhs36" localSheetId="0" hidden="1">Sheet1!$B$26</definedName>
    <definedName name="solver_lhs37" localSheetId="0" hidden="1">Sheet1!$B$27</definedName>
    <definedName name="solver_lhs38" localSheetId="0" hidden="1">Sheet1!$B$28</definedName>
    <definedName name="solver_lhs39" localSheetId="0" hidden="1">Sheet1!$B$29</definedName>
    <definedName name="solver_lhs4" localSheetId="0" hidden="1">Sheet1!$A$23</definedName>
    <definedName name="solver_lhs40" localSheetId="0" hidden="1">Sheet1!$B$30</definedName>
    <definedName name="solver_lhs41" localSheetId="0" hidden="1">Sheet1!$B$31</definedName>
    <definedName name="solver_lhs42" localSheetId="0" hidden="1">Sheet1!$B$32</definedName>
    <definedName name="solver_lhs43" localSheetId="0" hidden="1">Sheet1!$B$33</definedName>
    <definedName name="solver_lhs44" localSheetId="0" hidden="1">Sheet1!$B$34</definedName>
    <definedName name="solver_lhs45" localSheetId="0" hidden="1">Sheet1!$B$35</definedName>
    <definedName name="solver_lhs46" localSheetId="0" hidden="1">Sheet1!$B$36</definedName>
    <definedName name="solver_lhs47" localSheetId="0" hidden="1">Sheet1!$B$37</definedName>
    <definedName name="solver_lhs48" localSheetId="0" hidden="1">Sheet1!$B$38</definedName>
    <definedName name="solver_lhs49" localSheetId="0" hidden="1">Sheet1!$B$39</definedName>
    <definedName name="solver_lhs5" localSheetId="0" hidden="1">Sheet1!$A$24</definedName>
    <definedName name="solver_lhs50" localSheetId="0" hidden="1">Sheet1!$B$40</definedName>
    <definedName name="solver_lhs51" localSheetId="0" hidden="1">Sheet1!$B$41</definedName>
    <definedName name="solver_lhs52" localSheetId="0" hidden="1">Sheet1!$B$42</definedName>
    <definedName name="solver_lhs53" localSheetId="0" hidden="1">Sheet1!$B$43</definedName>
    <definedName name="solver_lhs54" localSheetId="0" hidden="1">Sheet1!$B$44</definedName>
    <definedName name="solver_lhs55" localSheetId="0" hidden="1">Sheet1!$B$45</definedName>
    <definedName name="solver_lhs56" localSheetId="0" hidden="1">Sheet1!$B$46</definedName>
    <definedName name="solver_lhs57" localSheetId="0" hidden="1">Sheet1!$B$47</definedName>
    <definedName name="solver_lhs58" localSheetId="0" hidden="1">Sheet1!$B$48</definedName>
    <definedName name="solver_lhs59" localSheetId="0" hidden="1">Sheet1!$B$49</definedName>
    <definedName name="solver_lhs6" localSheetId="0" hidden="1">Sheet1!$A$25</definedName>
    <definedName name="solver_lhs60" localSheetId="0" hidden="1">Sheet1!$J$17</definedName>
    <definedName name="solver_lhs61" localSheetId="0" hidden="1">Sheet1!$J$17</definedName>
    <definedName name="solver_lhs7" localSheetId="0" hidden="1">Sheet1!$A$26</definedName>
    <definedName name="solver_lhs8" localSheetId="0" hidden="1">Sheet1!$A$27</definedName>
    <definedName name="solver_lhs9" localSheetId="0" hidden="1">Sheet1!$A$28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3</definedName>
    <definedName name="solver_nwt" localSheetId="0" hidden="1">1</definedName>
    <definedName name="solver_opt" localSheetId="0" hidden="1">Sheet1!$J$12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el10" localSheetId="0" hidden="1">1</definedName>
    <definedName name="solver_rel11" localSheetId="0" hidden="1">1</definedName>
    <definedName name="solver_rel12" localSheetId="0" hidden="1">1</definedName>
    <definedName name="solver_rel13" localSheetId="0" hidden="1">1</definedName>
    <definedName name="solver_rel14" localSheetId="0" hidden="1">1</definedName>
    <definedName name="solver_rel15" localSheetId="0" hidden="1">1</definedName>
    <definedName name="solver_rel16" localSheetId="0" hidden="1">1</definedName>
    <definedName name="solver_rel17" localSheetId="0" hidden="1">1</definedName>
    <definedName name="solver_rel18" localSheetId="0" hidden="1">1</definedName>
    <definedName name="solver_rel19" localSheetId="0" hidden="1">1</definedName>
    <definedName name="solver_rel2" localSheetId="0" hidden="1">1</definedName>
    <definedName name="solver_rel20" localSheetId="0" hidden="1">1</definedName>
    <definedName name="solver_rel21" localSheetId="0" hidden="1">1</definedName>
    <definedName name="solver_rel22" localSheetId="0" hidden="1">1</definedName>
    <definedName name="solver_rel23" localSheetId="0" hidden="1">1</definedName>
    <definedName name="solver_rel24" localSheetId="0" hidden="1">1</definedName>
    <definedName name="solver_rel25" localSheetId="0" hidden="1">1</definedName>
    <definedName name="solver_rel26" localSheetId="0" hidden="1">1</definedName>
    <definedName name="solver_rel27" localSheetId="0" hidden="1">1</definedName>
    <definedName name="solver_rel28" localSheetId="0" hidden="1">1</definedName>
    <definedName name="solver_rel29" localSheetId="0" hidden="1">1</definedName>
    <definedName name="solver_rel3" localSheetId="0" hidden="1">3</definedName>
    <definedName name="solver_rel30" localSheetId="0" hidden="1">1</definedName>
    <definedName name="solver_rel31" localSheetId="0" hidden="1">1</definedName>
    <definedName name="solver_rel32" localSheetId="0" hidden="1">1</definedName>
    <definedName name="solver_rel33" localSheetId="0" hidden="1">1</definedName>
    <definedName name="solver_rel34" localSheetId="0" hidden="1">1</definedName>
    <definedName name="solver_rel35" localSheetId="0" hidden="1">1</definedName>
    <definedName name="solver_rel36" localSheetId="0" hidden="1">1</definedName>
    <definedName name="solver_rel37" localSheetId="0" hidden="1">1</definedName>
    <definedName name="solver_rel38" localSheetId="0" hidden="1">1</definedName>
    <definedName name="solver_rel39" localSheetId="0" hidden="1">1</definedName>
    <definedName name="solver_rel4" localSheetId="0" hidden="1">1</definedName>
    <definedName name="solver_rel40" localSheetId="0" hidden="1">1</definedName>
    <definedName name="solver_rel41" localSheetId="0" hidden="1">1</definedName>
    <definedName name="solver_rel42" localSheetId="0" hidden="1">1</definedName>
    <definedName name="solver_rel43" localSheetId="0" hidden="1">1</definedName>
    <definedName name="solver_rel44" localSheetId="0" hidden="1">1</definedName>
    <definedName name="solver_rel45" localSheetId="0" hidden="1">1</definedName>
    <definedName name="solver_rel46" localSheetId="0" hidden="1">1</definedName>
    <definedName name="solver_rel47" localSheetId="0" hidden="1">1</definedName>
    <definedName name="solver_rel48" localSheetId="0" hidden="1">1</definedName>
    <definedName name="solver_rel49" localSheetId="0" hidden="1">1</definedName>
    <definedName name="solver_rel5" localSheetId="0" hidden="1">1</definedName>
    <definedName name="solver_rel50" localSheetId="0" hidden="1">1</definedName>
    <definedName name="solver_rel51" localSheetId="0" hidden="1">1</definedName>
    <definedName name="solver_rel52" localSheetId="0" hidden="1">1</definedName>
    <definedName name="solver_rel53" localSheetId="0" hidden="1">1</definedName>
    <definedName name="solver_rel54" localSheetId="0" hidden="1">1</definedName>
    <definedName name="solver_rel55" localSheetId="0" hidden="1">1</definedName>
    <definedName name="solver_rel56" localSheetId="0" hidden="1">1</definedName>
    <definedName name="solver_rel57" localSheetId="0" hidden="1">1</definedName>
    <definedName name="solver_rel58" localSheetId="0" hidden="1">1</definedName>
    <definedName name="solver_rel59" localSheetId="0" hidden="1">1</definedName>
    <definedName name="solver_rel6" localSheetId="0" hidden="1">1</definedName>
    <definedName name="solver_rel60" localSheetId="0" hidden="1">3</definedName>
    <definedName name="solver_rel61" localSheetId="0" hidden="1">3</definedName>
    <definedName name="solver_rel7" localSheetId="0" hidden="1">1</definedName>
    <definedName name="solver_rel8" localSheetId="0" hidden="1">1</definedName>
    <definedName name="solver_rel9" localSheetId="0" hidden="1">1</definedName>
    <definedName name="solver_rhs1" localSheetId="0" hidden="1">Sheet1!$B$20:$B$44</definedName>
    <definedName name="solver_rhs10" localSheetId="0" hidden="1">Sheet1!$B$30</definedName>
    <definedName name="solver_rhs11" localSheetId="0" hidden="1">Sheet1!$B$31</definedName>
    <definedName name="solver_rhs12" localSheetId="0" hidden="1">Sheet1!$B$32</definedName>
    <definedName name="solver_rhs13" localSheetId="0" hidden="1">Sheet1!$B$33</definedName>
    <definedName name="solver_rhs14" localSheetId="0" hidden="1">Sheet1!$B$34</definedName>
    <definedName name="solver_rhs15" localSheetId="0" hidden="1">Sheet1!$B$35</definedName>
    <definedName name="solver_rhs16" localSheetId="0" hidden="1">Sheet1!$B$36</definedName>
    <definedName name="solver_rhs17" localSheetId="0" hidden="1">Sheet1!$B$37</definedName>
    <definedName name="solver_rhs18" localSheetId="0" hidden="1">Sheet1!$B$38</definedName>
    <definedName name="solver_rhs19" localSheetId="0" hidden="1">Sheet1!$B$39</definedName>
    <definedName name="solver_rhs2" localSheetId="0" hidden="1">Sheet1!$C$20:$C$44</definedName>
    <definedName name="solver_rhs20" localSheetId="0" hidden="1">Sheet1!$B$40</definedName>
    <definedName name="solver_rhs21" localSheetId="0" hidden="1">Sheet1!$B$41</definedName>
    <definedName name="solver_rhs22" localSheetId="0" hidden="1">Sheet1!$B$42</definedName>
    <definedName name="solver_rhs23" localSheetId="0" hidden="1">Sheet1!$B$43</definedName>
    <definedName name="solver_rhs24" localSheetId="0" hidden="1">Sheet1!$B$44</definedName>
    <definedName name="solver_rhs25" localSheetId="0" hidden="1">Sheet1!$B$45</definedName>
    <definedName name="solver_rhs26" localSheetId="0" hidden="1">Sheet1!$B$46</definedName>
    <definedName name="solver_rhs27" localSheetId="0" hidden="1">Sheet1!$B$47</definedName>
    <definedName name="solver_rhs28" localSheetId="0" hidden="1">Sheet1!$B$48</definedName>
    <definedName name="solver_rhs29" localSheetId="0" hidden="1">Sheet1!$B$49</definedName>
    <definedName name="solver_rhs3" localSheetId="0" hidden="1">0</definedName>
    <definedName name="solver_rhs30" localSheetId="0" hidden="1">Sheet1!$C$20</definedName>
    <definedName name="solver_rhs31" localSheetId="0" hidden="1">Sheet1!$C$21</definedName>
    <definedName name="solver_rhs32" localSheetId="0" hidden="1">Sheet1!$C$22</definedName>
    <definedName name="solver_rhs33" localSheetId="0" hidden="1">Sheet1!$C$23</definedName>
    <definedName name="solver_rhs34" localSheetId="0" hidden="1">Sheet1!$C$24</definedName>
    <definedName name="solver_rhs35" localSheetId="0" hidden="1">Sheet1!$C$25</definedName>
    <definedName name="solver_rhs36" localSheetId="0" hidden="1">Sheet1!$C$26</definedName>
    <definedName name="solver_rhs37" localSheetId="0" hidden="1">Sheet1!$C$27</definedName>
    <definedName name="solver_rhs38" localSheetId="0" hidden="1">Sheet1!$C$28</definedName>
    <definedName name="solver_rhs39" localSheetId="0" hidden="1">Sheet1!$C$29</definedName>
    <definedName name="solver_rhs4" localSheetId="0" hidden="1">Sheet1!$B$23</definedName>
    <definedName name="solver_rhs40" localSheetId="0" hidden="1">Sheet1!$C$30</definedName>
    <definedName name="solver_rhs41" localSheetId="0" hidden="1">Sheet1!$C$31</definedName>
    <definedName name="solver_rhs42" localSheetId="0" hidden="1">Sheet1!$C$32</definedName>
    <definedName name="solver_rhs43" localSheetId="0" hidden="1">Sheet1!$C$33</definedName>
    <definedName name="solver_rhs44" localSheetId="0" hidden="1">Sheet1!$C$34</definedName>
    <definedName name="solver_rhs45" localSheetId="0" hidden="1">Sheet1!$C$35</definedName>
    <definedName name="solver_rhs46" localSheetId="0" hidden="1">Sheet1!$C$36</definedName>
    <definedName name="solver_rhs47" localSheetId="0" hidden="1">Sheet1!$C$37</definedName>
    <definedName name="solver_rhs48" localSheetId="0" hidden="1">Sheet1!$C$38</definedName>
    <definedName name="solver_rhs49" localSheetId="0" hidden="1">Sheet1!$C$39</definedName>
    <definedName name="solver_rhs5" localSheetId="0" hidden="1">Sheet1!$B$24</definedName>
    <definedName name="solver_rhs50" localSheetId="0" hidden="1">Sheet1!$C$40</definedName>
    <definedName name="solver_rhs51" localSheetId="0" hidden="1">Sheet1!$C$41</definedName>
    <definedName name="solver_rhs52" localSheetId="0" hidden="1">Sheet1!$C$42</definedName>
    <definedName name="solver_rhs53" localSheetId="0" hidden="1">Sheet1!$C$43</definedName>
    <definedName name="solver_rhs54" localSheetId="0" hidden="1">Sheet1!$C$44</definedName>
    <definedName name="solver_rhs55" localSheetId="0" hidden="1">Sheet1!$C$45</definedName>
    <definedName name="solver_rhs56" localSheetId="0" hidden="1">Sheet1!$C$46</definedName>
    <definedName name="solver_rhs57" localSheetId="0" hidden="1">Sheet1!$C$47</definedName>
    <definedName name="solver_rhs58" localSheetId="0" hidden="1">Sheet1!$C$48</definedName>
    <definedName name="solver_rhs59" localSheetId="0" hidden="1">Sheet1!$C$49</definedName>
    <definedName name="solver_rhs6" localSheetId="0" hidden="1">Sheet1!$B$25</definedName>
    <definedName name="solver_rhs60" localSheetId="0" hidden="1">Sheet1!$K$17</definedName>
    <definedName name="solver_rhs61" localSheetId="0" hidden="1">Sheet1!$K$17</definedName>
    <definedName name="solver_rhs7" localSheetId="0" hidden="1">Sheet1!$B$26</definedName>
    <definedName name="solver_rhs8" localSheetId="0" hidden="1">Sheet1!$B$27</definedName>
    <definedName name="solver_rhs9" localSheetId="0" hidden="1">Sheet1!$B$28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500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5" i="7" l="1"/>
  <c r="K6" i="7"/>
  <c r="K7" i="7"/>
  <c r="K8" i="7"/>
  <c r="K4" i="7"/>
  <c r="C20" i="7" l="1"/>
  <c r="C21" i="7"/>
  <c r="Q5" i="7" l="1"/>
  <c r="Q4" i="7"/>
  <c r="L5" i="7"/>
  <c r="L6" i="7"/>
  <c r="L7" i="7"/>
  <c r="L8" i="7"/>
  <c r="L4" i="7"/>
  <c r="R4" i="7" l="1"/>
  <c r="AH4" i="7" l="1"/>
  <c r="AC4" i="7"/>
  <c r="X4" i="7"/>
  <c r="S4" i="7"/>
  <c r="P10" i="7"/>
  <c r="AE10" i="7" l="1"/>
  <c r="AJ10" i="7"/>
  <c r="Z10" i="7"/>
  <c r="U10" i="7"/>
  <c r="C22" i="7" l="1"/>
  <c r="C23" i="7"/>
  <c r="C24" i="7"/>
  <c r="Q6" i="7" l="1"/>
  <c r="R5" i="7"/>
  <c r="R6" i="7" l="1"/>
  <c r="C27" i="7" s="1"/>
  <c r="C26" i="7"/>
  <c r="Q8" i="7" l="1"/>
  <c r="R8" i="7" s="1"/>
  <c r="C29" i="7" s="1"/>
  <c r="C25" i="7"/>
  <c r="V4" i="7" l="1"/>
  <c r="W4" i="7" s="1"/>
  <c r="C30" i="7" s="1"/>
  <c r="V6" i="7"/>
  <c r="W6" i="7" s="1"/>
  <c r="C32" i="7" s="1"/>
  <c r="Q7" i="7"/>
  <c r="Q16" i="7" s="1"/>
  <c r="AA4" i="7" l="1"/>
  <c r="AB4" i="7" s="1"/>
  <c r="C35" i="7" s="1"/>
  <c r="Q10" i="7"/>
  <c r="R7" i="7"/>
  <c r="Q11" i="7"/>
  <c r="R9" i="7" l="1"/>
  <c r="R10" i="7"/>
  <c r="R11" i="7"/>
  <c r="C28" i="7"/>
  <c r="V7" i="7" l="1"/>
  <c r="W7" i="7" s="1"/>
  <c r="C33" i="7" s="1"/>
  <c r="V5" i="7"/>
  <c r="AA7" i="7" l="1"/>
  <c r="AB7" i="7" s="1"/>
  <c r="C38" i="7" s="1"/>
  <c r="W5" i="7"/>
  <c r="C31" i="7" l="1"/>
  <c r="AA5" i="7" l="1"/>
  <c r="AB5" i="7" s="1"/>
  <c r="C36" i="7" s="1"/>
  <c r="V8" i="7"/>
  <c r="AF5" i="7" l="1"/>
  <c r="AG5" i="7" s="1"/>
  <c r="C41" i="7" s="1"/>
  <c r="W8" i="7"/>
  <c r="V11" i="7"/>
  <c r="V16" i="7"/>
  <c r="V10" i="7"/>
  <c r="W9" i="7" l="1"/>
  <c r="C34" i="7"/>
  <c r="W11" i="7"/>
  <c r="W10" i="7"/>
  <c r="AA8" i="7" l="1"/>
  <c r="AB8" i="7" s="1"/>
  <c r="C39" i="7" s="1"/>
  <c r="AA6" i="7"/>
  <c r="AF8" i="7" l="1"/>
  <c r="AG8" i="7" s="1"/>
  <c r="C44" i="7" s="1"/>
  <c r="AB6" i="7"/>
  <c r="AA16" i="7"/>
  <c r="AA11" i="7"/>
  <c r="AA10" i="7"/>
  <c r="AK8" i="7" l="1"/>
  <c r="AB9" i="7"/>
  <c r="AB11" i="7"/>
  <c r="AB10" i="7"/>
  <c r="C37" i="7"/>
  <c r="AF6" i="7" l="1"/>
  <c r="AG6" i="7" s="1"/>
  <c r="C42" i="7" s="1"/>
  <c r="AF4" i="7"/>
  <c r="AK6" i="7" l="1"/>
  <c r="AL6" i="7" s="1"/>
  <c r="AG4" i="7"/>
  <c r="C40" i="7" l="1"/>
  <c r="AF7" i="7" l="1"/>
  <c r="AK4" i="7" l="1"/>
  <c r="AL4" i="7" s="1"/>
  <c r="AG7" i="7"/>
  <c r="AF16" i="7"/>
  <c r="AF10" i="7"/>
  <c r="AF11" i="7"/>
  <c r="AG10" i="7" l="1"/>
  <c r="AG11" i="7"/>
  <c r="AL8" i="7"/>
  <c r="C43" i="7"/>
  <c r="AG9" i="7"/>
  <c r="AK5" i="7" l="1"/>
  <c r="I14" i="7" l="1"/>
  <c r="L11" i="7"/>
  <c r="AK7" i="7"/>
  <c r="AL7" i="7" s="1"/>
  <c r="AL5" i="7"/>
  <c r="AK10" i="7" l="1"/>
  <c r="I10" i="7" s="1"/>
  <c r="L10" i="7" s="1"/>
  <c r="AK11" i="7"/>
  <c r="I11" i="7" s="1"/>
  <c r="AK16" i="7"/>
  <c r="I16" i="7" s="1"/>
  <c r="AL10" i="7"/>
  <c r="I13" i="7" s="1"/>
  <c r="AL11" i="7"/>
  <c r="I15" i="7" s="1"/>
  <c r="AL9" i="7" l="1"/>
  <c r="I12" i="7"/>
  <c r="J12" i="7" s="1"/>
  <c r="L12" i="7" l="1"/>
</calcChain>
</file>

<file path=xl/sharedStrings.xml><?xml version="1.0" encoding="utf-8"?>
<sst xmlns="http://schemas.openxmlformats.org/spreadsheetml/2006/main" count="10" uniqueCount="10">
  <si>
    <t>Size class</t>
  </si>
  <si>
    <t>Revenue</t>
  </si>
  <si>
    <t>Cost</t>
  </si>
  <si>
    <t>Diversity</t>
  </si>
  <si>
    <t>Gain</t>
  </si>
  <si>
    <r>
      <t xml:space="preserve">Total </t>
    </r>
    <r>
      <rPr>
        <i/>
        <sz val="11"/>
        <color theme="1"/>
        <rFont val="Times New Roman"/>
        <family val="1"/>
      </rPr>
      <t>h</t>
    </r>
  </si>
  <si>
    <t>Ngt CO2</t>
  </si>
  <si>
    <t>e</t>
  </si>
  <si>
    <t>Cost Gov</t>
  </si>
  <si>
    <t>R Gov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</si>
</sst>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i/>
      <sz val="11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0" fillId="2" borderId="0" xfId="0" applyFill="1"/>
    <xf numFmtId="0" fontId="0" fillId="2" borderId="2" xfId="0" applyFill="1" applyBorder="1"/>
    <xf numFmtId="2" fontId="1" fillId="2" borderId="1" xfId="0" applyNumberFormat="1" applyFont="1" applyFill="1" applyBorder="1" applyAlignment="1">
      <alignment horizontal="center"/>
    </xf>
    <xf numFmtId="1" fontId="1" fillId="2" borderId="0" xfId="0" applyNumberFormat="1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1" fontId="1" fillId="2" borderId="3" xfId="0" applyNumberFormat="1" applyFont="1" applyFill="1" applyBorder="1" applyAlignment="1">
      <alignment horizontal="center" vertical="center"/>
    </xf>
    <xf numFmtId="2" fontId="1" fillId="2" borderId="3" xfId="0" applyNumberFormat="1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1" fontId="1" fillId="2" borderId="3" xfId="0" applyNumberFormat="1" applyFont="1" applyFill="1" applyBorder="1" applyAlignment="1">
      <alignment horizontal="center"/>
    </xf>
    <xf numFmtId="1" fontId="1" fillId="2" borderId="1" xfId="0" applyNumberFormat="1" applyFont="1" applyFill="1" applyBorder="1" applyAlignment="1">
      <alignment horizontal="center"/>
    </xf>
    <xf numFmtId="2" fontId="1" fillId="2" borderId="0" xfId="0" applyNumberFormat="1" applyFont="1" applyFill="1" applyAlignment="1">
      <alignment horizontal="center" vertical="center"/>
    </xf>
    <xf numFmtId="0" fontId="0" fillId="2" borderId="0" xfId="0" applyFill="1" applyBorder="1"/>
    <xf numFmtId="0" fontId="1" fillId="2" borderId="0" xfId="0" applyFont="1" applyFill="1" applyBorder="1" applyAlignment="1">
      <alignment horizontal="center" vertical="center"/>
    </xf>
    <xf numFmtId="2" fontId="1" fillId="2" borderId="0" xfId="0" applyNumberFormat="1" applyFont="1" applyFill="1" applyBorder="1" applyAlignment="1">
      <alignment horizontal="center" vertical="center"/>
    </xf>
    <xf numFmtId="0" fontId="1" fillId="2" borderId="0" xfId="0" applyFont="1" applyFill="1" applyBorder="1"/>
    <xf numFmtId="0" fontId="2" fillId="2" borderId="2" xfId="0" applyFont="1" applyFill="1" applyBorder="1" applyAlignment="1">
      <alignment horizontal="center" vertical="top"/>
    </xf>
    <xf numFmtId="0" fontId="1" fillId="2" borderId="0" xfId="0" applyFont="1" applyFill="1" applyAlignment="1">
      <alignment horizontal="center"/>
    </xf>
    <xf numFmtId="1" fontId="1" fillId="2" borderId="0" xfId="0" applyNumberFormat="1" applyFont="1" applyFill="1" applyAlignment="1">
      <alignment horizontal="center"/>
    </xf>
    <xf numFmtId="0" fontId="1" fillId="2" borderId="0" xfId="0" applyFont="1" applyFill="1" applyAlignment="1">
      <alignment horizontal="left" vertical="center"/>
    </xf>
    <xf numFmtId="0" fontId="1" fillId="2" borderId="0" xfId="0" applyFont="1" applyFill="1" applyAlignment="1">
      <alignment horizontal="left"/>
    </xf>
    <xf numFmtId="0" fontId="1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76200</xdr:colOff>
      <xdr:row>2</xdr:row>
      <xdr:rowOff>11430</xdr:rowOff>
    </xdr:from>
    <xdr:ext cx="505074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/>
            <xdr:cNvSpPr txBox="1"/>
          </xdr:nvSpPr>
          <xdr:spPr>
            <a:xfrm>
              <a:off x="7391400" y="773430"/>
              <a:ext cx="50507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tr-TR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tr-TR" sz="11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tr-TR" sz="1100" b="0" i="1">
                        <a:latin typeface="Cambria Math" panose="02040503050406030204" pitchFamily="18" charset="0"/>
                      </a:rPr>
                      <m:t> (</m:t>
                    </m:r>
                    <m:r>
                      <a:rPr lang="tr-TR" sz="1100" b="0" i="1">
                        <a:latin typeface="Cambria Math" panose="02040503050406030204" pitchFamily="18" charset="0"/>
                      </a:rPr>
                      <m:t>𝑐𝑚</m:t>
                    </m:r>
                    <m:r>
                      <a:rPr lang="tr-TR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14" name="TextBox 13"/>
            <xdr:cNvSpPr txBox="1"/>
          </xdr:nvSpPr>
          <xdr:spPr>
            <a:xfrm>
              <a:off x="7391400" y="773430"/>
              <a:ext cx="50507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tr-TR" sz="1100" b="0" i="0">
                  <a:latin typeface="Cambria Math" panose="02040503050406030204" pitchFamily="18" charset="0"/>
                </a:rPr>
                <a:t>𝑑</a:t>
              </a:r>
              <a:r>
                <a:rPr lang="en-GB" sz="1100" b="0" i="0">
                  <a:latin typeface="Cambria Math" panose="02040503050406030204" pitchFamily="18" charset="0"/>
                </a:rPr>
                <a:t>_</a:t>
              </a:r>
              <a:r>
                <a:rPr lang="tr-TR" sz="1100" b="0" i="0">
                  <a:latin typeface="Cambria Math" panose="02040503050406030204" pitchFamily="18" charset="0"/>
                </a:rPr>
                <a:t>𝑠  (𝑐𝑚)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12</xdr:col>
      <xdr:colOff>175260</xdr:colOff>
      <xdr:row>1</xdr:row>
      <xdr:rowOff>179070</xdr:rowOff>
    </xdr:from>
    <xdr:ext cx="263277" cy="18408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/>
            <xdr:cNvSpPr txBox="1"/>
          </xdr:nvSpPr>
          <xdr:spPr>
            <a:xfrm>
              <a:off x="5661660" y="361950"/>
              <a:ext cx="263277" cy="1840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tr-TR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tr-TR" sz="1100" b="0" i="1">
                            <a:latin typeface="Cambria Math" panose="02040503050406030204" pitchFamily="18" charset="0"/>
                          </a:rPr>
                          <m:t>𝑠</m:t>
                        </m:r>
                        <m:sSub>
                          <m:sSubPr>
                            <m:ctrlPr>
                              <a:rPr lang="tr-TR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tr-TR" sz="11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</m:e>
                          <m:sub>
                            <m:r>
                              <a:rPr lang="tr-TR" sz="11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sub>
                    </m:sSub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15" name="TextBox 14"/>
            <xdr:cNvSpPr txBox="1"/>
          </xdr:nvSpPr>
          <xdr:spPr>
            <a:xfrm>
              <a:off x="5661660" y="361950"/>
              <a:ext cx="263277" cy="1840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tr-TR" sz="1100" b="0" i="0">
                  <a:latin typeface="Cambria Math" panose="02040503050406030204" pitchFamily="18" charset="0"/>
                </a:rPr>
                <a:t>𝑥</a:t>
              </a:r>
              <a:r>
                <a:rPr lang="en-GB" sz="1100" b="0" i="0">
                  <a:latin typeface="Cambria Math" panose="02040503050406030204" pitchFamily="18" charset="0"/>
                </a:rPr>
                <a:t>_(</a:t>
              </a:r>
              <a:r>
                <a:rPr lang="tr-TR" sz="1100" b="0" i="0">
                  <a:latin typeface="Cambria Math" panose="02040503050406030204" pitchFamily="18" charset="0"/>
                </a:rPr>
                <a:t>𝑠𝑡_1 </a:t>
              </a:r>
              <a:r>
                <a:rPr lang="en-GB" sz="1100" b="0" i="0">
                  <a:latin typeface="Cambria Math" panose="02040503050406030204" pitchFamily="18" charset="0"/>
                </a:rPr>
                <a:t>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13</xdr:col>
      <xdr:colOff>51262</xdr:colOff>
      <xdr:row>2</xdr:row>
      <xdr:rowOff>2771</xdr:rowOff>
    </xdr:from>
    <xdr:ext cx="38420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1" name="TextBox 20"/>
            <xdr:cNvSpPr txBox="1"/>
          </xdr:nvSpPr>
          <xdr:spPr>
            <a:xfrm>
              <a:off x="7588135" y="376844"/>
              <a:ext cx="38420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𝜙</m:t>
                    </m:r>
                    <m:d>
                      <m:dPr>
                        <m:ctrlPr>
                          <a:rPr lang="tr-T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tr-T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tr-T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tr-T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e>
                    </m: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21" name="TextBox 20"/>
            <xdr:cNvSpPr txBox="1"/>
          </xdr:nvSpPr>
          <xdr:spPr>
            <a:xfrm>
              <a:off x="7588135" y="376844"/>
              <a:ext cx="38420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𝜙</a:t>
              </a:r>
              <a:r>
                <a:rPr lang="tr-T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(𝑥_1 )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15</xdr:col>
      <xdr:colOff>49184</xdr:colOff>
      <xdr:row>1</xdr:row>
      <xdr:rowOff>189807</xdr:rowOff>
    </xdr:from>
    <xdr:ext cx="42716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2" name="TextBox 21"/>
            <xdr:cNvSpPr txBox="1"/>
          </xdr:nvSpPr>
          <xdr:spPr>
            <a:xfrm>
              <a:off x="8597439" y="369916"/>
              <a:ext cx="42716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tr-T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𝛼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𝑠</m:t>
                        </m:r>
                      </m:sub>
                    </m:sSub>
                    <m:d>
                      <m:dPr>
                        <m:ctrlPr>
                          <a:rPr lang="tr-T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tr-T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tr-T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tr-T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e>
                    </m: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22" name="TextBox 21"/>
            <xdr:cNvSpPr txBox="1"/>
          </xdr:nvSpPr>
          <xdr:spPr>
            <a:xfrm>
              <a:off x="8597439" y="369916"/>
              <a:ext cx="42716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𝛼</a:t>
              </a:r>
              <a:r>
                <a:rPr lang="tr-T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_</a:t>
              </a:r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𝑠</a:t>
              </a:r>
              <a:r>
                <a:rPr lang="tr-T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(𝑥_1 )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14</xdr:col>
      <xdr:colOff>69966</xdr:colOff>
      <xdr:row>1</xdr:row>
      <xdr:rowOff>189115</xdr:rowOff>
    </xdr:from>
    <xdr:ext cx="419922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3" name="TextBox 22"/>
            <xdr:cNvSpPr txBox="1"/>
          </xdr:nvSpPr>
          <xdr:spPr>
            <a:xfrm>
              <a:off x="8112530" y="369224"/>
              <a:ext cx="41992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tr-T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tr-T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𝜇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𝑠</m:t>
                        </m:r>
                      </m:sub>
                    </m:sSub>
                    <m:d>
                      <m:dPr>
                        <m:ctrlPr>
                          <a:rPr lang="tr-T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tr-T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tr-T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tr-T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e>
                    </m: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23" name="TextBox 22"/>
            <xdr:cNvSpPr txBox="1"/>
          </xdr:nvSpPr>
          <xdr:spPr>
            <a:xfrm>
              <a:off x="8112530" y="369224"/>
              <a:ext cx="41992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tr-T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𝜇_</a:t>
              </a:r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𝑠</a:t>
              </a:r>
              <a:r>
                <a:rPr lang="tr-T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(𝑥_1 )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17</xdr:col>
      <xdr:colOff>122612</xdr:colOff>
      <xdr:row>1</xdr:row>
      <xdr:rowOff>180802</xdr:rowOff>
    </xdr:from>
    <xdr:ext cx="263277" cy="18408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4" name="TextBox 23"/>
            <xdr:cNvSpPr txBox="1"/>
          </xdr:nvSpPr>
          <xdr:spPr>
            <a:xfrm>
              <a:off x="9682248" y="360911"/>
              <a:ext cx="263277" cy="1840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tr-TR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tr-TR" sz="1100" b="0" i="1">
                            <a:latin typeface="Cambria Math" panose="02040503050406030204" pitchFamily="18" charset="0"/>
                          </a:rPr>
                          <m:t>𝑠</m:t>
                        </m:r>
                        <m:sSub>
                          <m:sSubPr>
                            <m:ctrlPr>
                              <a:rPr lang="tr-TR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tr-TR" sz="11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</m:e>
                          <m:sub>
                            <m:r>
                              <a:rPr lang="tr-TR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b>
                        </m:sSub>
                      </m:sub>
                    </m:sSub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24" name="TextBox 23"/>
            <xdr:cNvSpPr txBox="1"/>
          </xdr:nvSpPr>
          <xdr:spPr>
            <a:xfrm>
              <a:off x="9682248" y="360911"/>
              <a:ext cx="263277" cy="1840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tr-TR" sz="1100" b="0" i="0">
                  <a:latin typeface="Cambria Math" panose="02040503050406030204" pitchFamily="18" charset="0"/>
                </a:rPr>
                <a:t>𝑥</a:t>
              </a:r>
              <a:r>
                <a:rPr lang="en-GB" sz="1100" b="0" i="0">
                  <a:latin typeface="Cambria Math" panose="02040503050406030204" pitchFamily="18" charset="0"/>
                </a:rPr>
                <a:t>_(</a:t>
              </a:r>
              <a:r>
                <a:rPr lang="tr-TR" sz="1100" b="0" i="0">
                  <a:latin typeface="Cambria Math" panose="02040503050406030204" pitchFamily="18" charset="0"/>
                </a:rPr>
                <a:t>𝑠𝑡_2 </a:t>
              </a:r>
              <a:r>
                <a:rPr lang="en-GB" sz="1100" b="0" i="0">
                  <a:latin typeface="Cambria Math" panose="02040503050406030204" pitchFamily="18" charset="0"/>
                </a:rPr>
                <a:t>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16</xdr:col>
      <xdr:colOff>153786</xdr:colOff>
      <xdr:row>2</xdr:row>
      <xdr:rowOff>0</xdr:rowOff>
    </xdr:from>
    <xdr:ext cx="256352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5" name="TextBox 24"/>
            <xdr:cNvSpPr txBox="1"/>
          </xdr:nvSpPr>
          <xdr:spPr>
            <a:xfrm>
              <a:off x="9207731" y="374073"/>
              <a:ext cx="25635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tr-TR" sz="1100" b="0" i="1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a:rPr lang="tr-TR" sz="1100" b="0" i="1">
                            <a:latin typeface="Cambria Math" panose="02040503050406030204" pitchFamily="18" charset="0"/>
                          </a:rPr>
                          <m:t>𝑠</m:t>
                        </m:r>
                        <m:r>
                          <a:rPr lang="tr-TR" sz="11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tr-TR" sz="1100" b="0" i="1">
                        <a:latin typeface="Cambria Math" panose="02040503050406030204" pitchFamily="18" charset="0"/>
                      </a:rPr>
                      <m:t> </m:t>
                    </m:r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25" name="TextBox 24"/>
            <xdr:cNvSpPr txBox="1"/>
          </xdr:nvSpPr>
          <xdr:spPr>
            <a:xfrm>
              <a:off x="9207731" y="374073"/>
              <a:ext cx="25635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tr-TR" sz="1100" b="0" i="0">
                  <a:latin typeface="Cambria Math" panose="02040503050406030204" pitchFamily="18" charset="0"/>
                </a:rPr>
                <a:t>ℎ</a:t>
              </a:r>
              <a:r>
                <a:rPr lang="en-GB" sz="1100" b="0" i="0">
                  <a:latin typeface="Cambria Math" panose="02040503050406030204" pitchFamily="18" charset="0"/>
                </a:rPr>
                <a:t>_</a:t>
              </a:r>
              <a:r>
                <a:rPr lang="tr-TR" sz="1100" b="0" i="0">
                  <a:latin typeface="Cambria Math" panose="02040503050406030204" pitchFamily="18" charset="0"/>
                </a:rPr>
                <a:t>𝑠1  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0</xdr:col>
      <xdr:colOff>91440</xdr:colOff>
      <xdr:row>2</xdr:row>
      <xdr:rowOff>15240</xdr:rowOff>
    </xdr:from>
    <xdr:ext cx="2929969" cy="17697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9" name="TextBox 28"/>
            <xdr:cNvSpPr txBox="1"/>
          </xdr:nvSpPr>
          <xdr:spPr>
            <a:xfrm>
              <a:off x="91440" y="388620"/>
              <a:ext cx="2929969" cy="1769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tr-TR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tr-TR" sz="1100" b="0" i="1">
                            <a:latin typeface="Cambria Math" panose="02040503050406030204" pitchFamily="18" charset="0"/>
                          </a:rPr>
                          <m:t>1,</m:t>
                        </m:r>
                        <m:r>
                          <a:rPr lang="tr-TR" sz="1100" b="0" i="1">
                            <a:latin typeface="Cambria Math" panose="02040503050406030204" pitchFamily="18" charset="0"/>
                          </a:rPr>
                          <m:t>𝑡</m:t>
                        </m:r>
                        <m:r>
                          <a:rPr lang="tr-TR" sz="1100" b="0" i="1">
                            <a:latin typeface="Cambria Math" panose="02040503050406030204" pitchFamily="18" charset="0"/>
                          </a:rPr>
                          <m:t>+1</m:t>
                        </m:r>
                      </m:sub>
                    </m:sSub>
                    <m:r>
                      <a:rPr lang="tr-TR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tr-TR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𝜙</m:t>
                    </m:r>
                    <m:d>
                      <m:dPr>
                        <m:ctrlPr>
                          <a:rPr lang="tr-T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tr-T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tr-T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tr-T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</m:e>
                    </m:d>
                    <m:r>
                      <a:rPr lang="tr-TR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d>
                      <m:dPr>
                        <m:begChr m:val="["/>
                        <m:endChr m:val="]"/>
                        <m:ctrlPr>
                          <a:rPr lang="tr-T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tr-T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tr-T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tr-T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𝛼</m:t>
                            </m:r>
                          </m:e>
                          <m:sub>
                            <m:r>
                              <a:rPr lang="tr-T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  <m:d>
                          <m:dPr>
                            <m:ctrlPr>
                              <a:rPr lang="tr-T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tr-TR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tr-TR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𝑥</m:t>
                                </m:r>
                              </m:e>
                              <m:sub>
                                <m:r>
                                  <a:rPr lang="tr-TR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𝑡</m:t>
                                </m:r>
                              </m:sub>
                            </m:sSub>
                          </m:e>
                        </m:d>
                        <m:r>
                          <a:rPr lang="tr-T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sSub>
                          <m:sSubPr>
                            <m:ctrlPr>
                              <a:rPr lang="tr-T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tr-T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𝜇</m:t>
                            </m:r>
                          </m:e>
                          <m:sub>
                            <m:r>
                              <a:rPr lang="tr-T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  <m:d>
                          <m:dPr>
                            <m:ctrlPr>
                              <a:rPr lang="tr-T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tr-TR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tr-TR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𝑥</m:t>
                                </m:r>
                              </m:e>
                              <m:sub>
                                <m:r>
                                  <a:rPr lang="tr-TR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𝑡</m:t>
                                </m:r>
                              </m:sub>
                            </m:sSub>
                          </m:e>
                        </m:d>
                      </m:e>
                    </m:d>
                    <m:sSub>
                      <m:sSubPr>
                        <m:ctrlPr>
                          <a:rPr lang="tr-T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tr-T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tr-T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  <m:r>
                          <a:rPr lang="tr-T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sub>
                    </m:sSub>
                    <m:r>
                      <a:rPr lang="tr-TR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−</m:t>
                    </m:r>
                    <m:sSub>
                      <m:sSubPr>
                        <m:ctrlPr>
                          <a:rPr lang="tr-T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tr-T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a:rPr lang="tr-T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  <m:r>
                          <a:rPr lang="tr-T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sub>
                    </m:sSub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29" name="TextBox 28"/>
            <xdr:cNvSpPr txBox="1"/>
          </xdr:nvSpPr>
          <xdr:spPr>
            <a:xfrm>
              <a:off x="91440" y="388620"/>
              <a:ext cx="2929969" cy="1769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tr-TR" sz="1100" b="0" i="0">
                  <a:latin typeface="Cambria Math" panose="02040503050406030204" pitchFamily="18" charset="0"/>
                </a:rPr>
                <a:t>𝑥</a:t>
              </a:r>
              <a:r>
                <a:rPr lang="en-GB" sz="1100" b="0" i="0">
                  <a:latin typeface="Cambria Math" panose="02040503050406030204" pitchFamily="18" charset="0"/>
                </a:rPr>
                <a:t>_(</a:t>
              </a:r>
              <a:r>
                <a:rPr lang="tr-TR" sz="1100" b="0" i="0">
                  <a:latin typeface="Cambria Math" panose="02040503050406030204" pitchFamily="18" charset="0"/>
                </a:rPr>
                <a:t>1,𝑡+1</a:t>
              </a:r>
              <a:r>
                <a:rPr lang="en-GB" sz="1100" b="0" i="0">
                  <a:latin typeface="Cambria Math" panose="02040503050406030204" pitchFamily="18" charset="0"/>
                </a:rPr>
                <a:t>)</a:t>
              </a:r>
              <a:r>
                <a:rPr lang="tr-TR" sz="1100" b="0" i="0">
                  <a:latin typeface="Cambria Math" panose="02040503050406030204" pitchFamily="18" charset="0"/>
                </a:rPr>
                <a:t>=</a:t>
              </a:r>
              <a:r>
                <a:rPr lang="tr-T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𝜙(𝑥_𝑡 )+[1−𝛼_1 (𝑥_𝑡 )−𝜇_1 (𝑥_𝑡 )] 𝑥_1𝑡−ℎ_1𝑡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0</xdr:col>
      <xdr:colOff>68580</xdr:colOff>
      <xdr:row>4</xdr:row>
      <xdr:rowOff>41910</xdr:rowOff>
    </xdr:from>
    <xdr:ext cx="3852530" cy="17697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0" name="TextBox 29"/>
            <xdr:cNvSpPr txBox="1"/>
          </xdr:nvSpPr>
          <xdr:spPr>
            <a:xfrm>
              <a:off x="68580" y="788670"/>
              <a:ext cx="3852530" cy="1769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tr-TR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tr-TR" sz="1100" b="0" i="1">
                            <a:latin typeface="Cambria Math" panose="02040503050406030204" pitchFamily="18" charset="0"/>
                          </a:rPr>
                          <m:t>𝑠</m:t>
                        </m:r>
                        <m:r>
                          <a:rPr lang="tr-TR" sz="1100" b="0" i="1">
                            <a:latin typeface="Cambria Math" panose="02040503050406030204" pitchFamily="18" charset="0"/>
                          </a:rPr>
                          <m:t>+1,</m:t>
                        </m:r>
                        <m:r>
                          <a:rPr lang="tr-TR" sz="1100" b="0" i="1">
                            <a:latin typeface="Cambria Math" panose="02040503050406030204" pitchFamily="18" charset="0"/>
                          </a:rPr>
                          <m:t>𝑡</m:t>
                        </m:r>
                        <m:r>
                          <a:rPr lang="tr-TR" sz="1100" b="0" i="1">
                            <a:latin typeface="Cambria Math" panose="02040503050406030204" pitchFamily="18" charset="0"/>
                          </a:rPr>
                          <m:t>+1</m:t>
                        </m:r>
                      </m:sub>
                    </m:sSub>
                    <m:r>
                      <a:rPr lang="tr-TR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tr-TR" sz="11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tr-TR" sz="11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𝛼</m:t>
                        </m:r>
                      </m:e>
                      <m:sub>
                        <m:r>
                          <a:rPr lang="tr-TR" sz="11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</m:t>
                        </m:r>
                      </m:sub>
                    </m:sSub>
                    <m:d>
                      <m:dPr>
                        <m:ctrlPr>
                          <a:rPr lang="tr-T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tr-T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tr-T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𝑥</m:t>
                            </m:r>
                          </m:e>
                          <m:sub>
                            <m:r>
                              <a:rPr lang="tr-T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tr-T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tr-T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𝑥</m:t>
                        </m:r>
                      </m:e>
                      <m:sub>
                        <m:r>
                          <a:rPr lang="tr-T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𝑠𝑡</m:t>
                        </m:r>
                      </m:sub>
                    </m:sSub>
                    <m:r>
                      <a:rPr lang="tr-TR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d>
                      <m:dPr>
                        <m:begChr m:val="["/>
                        <m:endChr m:val="]"/>
                        <m:ctrlPr>
                          <a:rPr lang="tr-T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tr-T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tr-T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tr-T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𝛼</m:t>
                            </m:r>
                          </m:e>
                          <m:sub>
                            <m:r>
                              <a:rPr lang="tr-T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𝑠</m:t>
                            </m:r>
                            <m:r>
                              <a:rPr lang="tr-T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+1</m:t>
                            </m:r>
                          </m:sub>
                        </m:sSub>
                        <m:d>
                          <m:dPr>
                            <m:ctrlPr>
                              <a:rPr lang="tr-T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tr-TR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tr-TR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𝑥</m:t>
                                </m:r>
                              </m:e>
                              <m:sub>
                                <m:r>
                                  <a:rPr lang="tr-TR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𝑡</m:t>
                                </m:r>
                              </m:sub>
                            </m:sSub>
                          </m:e>
                        </m:d>
                        <m:r>
                          <a:rPr lang="tr-T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sSub>
                          <m:sSubPr>
                            <m:ctrlPr>
                              <a:rPr lang="tr-T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tr-T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𝜇</m:t>
                            </m:r>
                          </m:e>
                          <m:sub>
                            <m:r>
                              <a:rPr lang="tr-T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𝑠</m:t>
                            </m:r>
                            <m:r>
                              <a:rPr lang="tr-T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+1</m:t>
                            </m:r>
                          </m:sub>
                        </m:sSub>
                        <m:d>
                          <m:dPr>
                            <m:ctrlPr>
                              <a:rPr lang="tr-T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tr-TR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tr-TR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𝑥</m:t>
                                </m:r>
                              </m:e>
                              <m:sub>
                                <m:r>
                                  <a:rPr lang="tr-TR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𝑡</m:t>
                                </m:r>
                              </m:sub>
                            </m:sSub>
                          </m:e>
                        </m:d>
                      </m:e>
                    </m:d>
                    <m:sSub>
                      <m:sSubPr>
                        <m:ctrlPr>
                          <a:rPr lang="tr-T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tr-T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tr-T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𝑠</m:t>
                        </m:r>
                        <m:r>
                          <a:rPr lang="tr-T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+1, </m:t>
                        </m:r>
                        <m:r>
                          <a:rPr lang="tr-T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sub>
                    </m:sSub>
                    <m:r>
                      <a:rPr lang="tr-TR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−</m:t>
                    </m:r>
                    <m:sSub>
                      <m:sSubPr>
                        <m:ctrlPr>
                          <a:rPr lang="tr-T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tr-T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a:rPr lang="tr-T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𝑠</m:t>
                        </m:r>
                        <m:r>
                          <a:rPr lang="tr-T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+1,</m:t>
                        </m:r>
                        <m:r>
                          <a:rPr lang="tr-T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sub>
                    </m:sSub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30" name="TextBox 29"/>
            <xdr:cNvSpPr txBox="1"/>
          </xdr:nvSpPr>
          <xdr:spPr>
            <a:xfrm>
              <a:off x="68580" y="788670"/>
              <a:ext cx="3852530" cy="1769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tr-TR" sz="1100" b="0" i="0">
                  <a:latin typeface="Cambria Math" panose="02040503050406030204" pitchFamily="18" charset="0"/>
                </a:rPr>
                <a:t>𝑥</a:t>
              </a:r>
              <a:r>
                <a:rPr lang="en-GB" sz="1100" b="0" i="0">
                  <a:latin typeface="Cambria Math" panose="02040503050406030204" pitchFamily="18" charset="0"/>
                </a:rPr>
                <a:t>_(</a:t>
              </a:r>
              <a:r>
                <a:rPr lang="tr-TR" sz="1100" b="0" i="0">
                  <a:latin typeface="Cambria Math" panose="02040503050406030204" pitchFamily="18" charset="0"/>
                </a:rPr>
                <a:t>𝑠+1,𝑡+1</a:t>
              </a:r>
              <a:r>
                <a:rPr lang="en-GB" sz="1100" b="0" i="0">
                  <a:latin typeface="Cambria Math" panose="02040503050406030204" pitchFamily="18" charset="0"/>
                </a:rPr>
                <a:t>)</a:t>
              </a:r>
              <a:r>
                <a:rPr lang="tr-TR" sz="1100" b="0" i="0">
                  <a:latin typeface="Cambria Math" panose="02040503050406030204" pitchFamily="18" charset="0"/>
                </a:rPr>
                <a:t>=</a:t>
              </a:r>
              <a:r>
                <a:rPr lang="tr-TR" sz="11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𝛼_𝑠</a:t>
              </a:r>
              <a:r>
                <a:rPr lang="tr-T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(𝑥_𝑡 ) 𝑥_𝑠𝑡</a:t>
              </a:r>
              <a:r>
                <a:rPr lang="tr-T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+[1−𝛼_(𝑠+1) (𝑥_𝑡 )−𝜇_(𝑠+1) (𝑥_𝑡 )] 𝑥_(𝑠+1, 𝑡)−ℎ_(𝑠+1,𝑡)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4</xdr:col>
      <xdr:colOff>502920</xdr:colOff>
      <xdr:row>5</xdr:row>
      <xdr:rowOff>121920</xdr:rowOff>
    </xdr:from>
    <xdr:ext cx="86350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1" name="TextBox 30"/>
            <xdr:cNvSpPr txBox="1"/>
          </xdr:nvSpPr>
          <xdr:spPr>
            <a:xfrm>
              <a:off x="2941320" y="1051560"/>
              <a:ext cx="86350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∀</m:t>
                    </m:r>
                    <m:r>
                      <a:rPr lang="tr-TR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tr-TR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𝑠</m:t>
                    </m:r>
                    <m:r>
                      <a:rPr lang="tr-TR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=1, </m:t>
                    </m:r>
                    <m:r>
                      <a:rPr lang="tr-TR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𝑛</m:t>
                    </m:r>
                    <m:r>
                      <a:rPr lang="tr-TR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−1</m:t>
                    </m:r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31" name="TextBox 30"/>
            <xdr:cNvSpPr txBox="1"/>
          </xdr:nvSpPr>
          <xdr:spPr>
            <a:xfrm>
              <a:off x="2941320" y="1051560"/>
              <a:ext cx="86350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∀</a:t>
              </a:r>
              <a:r>
                <a:rPr lang="tr-T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𝑠=1, 𝑛−1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21</xdr:col>
      <xdr:colOff>161406</xdr:colOff>
      <xdr:row>2</xdr:row>
      <xdr:rowOff>693</xdr:rowOff>
    </xdr:from>
    <xdr:ext cx="256352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/>
            <xdr:cNvSpPr txBox="1"/>
          </xdr:nvSpPr>
          <xdr:spPr>
            <a:xfrm>
              <a:off x="11743806" y="374766"/>
              <a:ext cx="25635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tr-TR" sz="1100" b="0" i="1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a:rPr lang="tr-TR" sz="1100" b="0" i="1">
                            <a:latin typeface="Cambria Math" panose="02040503050406030204" pitchFamily="18" charset="0"/>
                          </a:rPr>
                          <m:t>𝑠</m:t>
                        </m:r>
                        <m:r>
                          <a:rPr lang="tr-TR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tr-TR" sz="1100" b="0" i="1">
                        <a:latin typeface="Cambria Math" panose="02040503050406030204" pitchFamily="18" charset="0"/>
                      </a:rPr>
                      <m:t> </m:t>
                    </m:r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13" name="TextBox 12"/>
            <xdr:cNvSpPr txBox="1"/>
          </xdr:nvSpPr>
          <xdr:spPr>
            <a:xfrm>
              <a:off x="11743806" y="374766"/>
              <a:ext cx="25635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tr-TR" sz="1100" b="0" i="0">
                  <a:latin typeface="Cambria Math" panose="02040503050406030204" pitchFamily="18" charset="0"/>
                </a:rPr>
                <a:t>ℎ</a:t>
              </a:r>
              <a:r>
                <a:rPr lang="en-GB" sz="1100" b="0" i="0">
                  <a:latin typeface="Cambria Math" panose="02040503050406030204" pitchFamily="18" charset="0"/>
                </a:rPr>
                <a:t>_</a:t>
              </a:r>
              <a:r>
                <a:rPr lang="tr-TR" sz="1100" b="0" i="0">
                  <a:latin typeface="Cambria Math" panose="02040503050406030204" pitchFamily="18" charset="0"/>
                </a:rPr>
                <a:t>𝑠2  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26</xdr:col>
      <xdr:colOff>139931</xdr:colOff>
      <xdr:row>2</xdr:row>
      <xdr:rowOff>0</xdr:rowOff>
    </xdr:from>
    <xdr:ext cx="256352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TextBox 16"/>
            <xdr:cNvSpPr txBox="1"/>
          </xdr:nvSpPr>
          <xdr:spPr>
            <a:xfrm>
              <a:off x="14250786" y="374073"/>
              <a:ext cx="25635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tr-TR" sz="1100" b="0" i="1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a:rPr lang="tr-TR" sz="1100" b="0" i="1">
                            <a:latin typeface="Cambria Math" panose="02040503050406030204" pitchFamily="18" charset="0"/>
                          </a:rPr>
                          <m:t>𝑠</m:t>
                        </m:r>
                        <m:r>
                          <a:rPr lang="tr-TR" sz="11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tr-TR" sz="1100" b="0" i="1">
                        <a:latin typeface="Cambria Math" panose="02040503050406030204" pitchFamily="18" charset="0"/>
                      </a:rPr>
                      <m:t> </m:t>
                    </m:r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17" name="TextBox 16"/>
            <xdr:cNvSpPr txBox="1"/>
          </xdr:nvSpPr>
          <xdr:spPr>
            <a:xfrm>
              <a:off x="14250786" y="374073"/>
              <a:ext cx="25635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tr-TR" sz="1100" b="0" i="0">
                  <a:latin typeface="Cambria Math" panose="02040503050406030204" pitchFamily="18" charset="0"/>
                </a:rPr>
                <a:t>ℎ</a:t>
              </a:r>
              <a:r>
                <a:rPr lang="en-GB" sz="1100" b="0" i="0">
                  <a:latin typeface="Cambria Math" panose="02040503050406030204" pitchFamily="18" charset="0"/>
                </a:rPr>
                <a:t>_</a:t>
              </a:r>
              <a:r>
                <a:rPr lang="tr-TR" sz="1100" b="0" i="0">
                  <a:latin typeface="Cambria Math" panose="02040503050406030204" pitchFamily="18" charset="0"/>
                </a:rPr>
                <a:t>𝑠3  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31</xdr:col>
      <xdr:colOff>161406</xdr:colOff>
      <xdr:row>1</xdr:row>
      <xdr:rowOff>187037</xdr:rowOff>
    </xdr:from>
    <xdr:ext cx="256352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9" name="TextBox 18"/>
            <xdr:cNvSpPr txBox="1"/>
          </xdr:nvSpPr>
          <xdr:spPr>
            <a:xfrm>
              <a:off x="16800715" y="367146"/>
              <a:ext cx="25635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tr-TR" sz="1100" b="0" i="1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a:rPr lang="tr-TR" sz="1100" b="0" i="1">
                            <a:latin typeface="Cambria Math" panose="02040503050406030204" pitchFamily="18" charset="0"/>
                          </a:rPr>
                          <m:t>𝑠</m:t>
                        </m:r>
                        <m:r>
                          <a:rPr lang="tr-TR" sz="1100" b="0" i="1">
                            <a:latin typeface="Cambria Math" panose="02040503050406030204" pitchFamily="18" charset="0"/>
                          </a:rPr>
                          <m:t>4</m:t>
                        </m:r>
                      </m:sub>
                    </m:sSub>
                    <m:r>
                      <a:rPr lang="tr-TR" sz="1100" b="0" i="1">
                        <a:latin typeface="Cambria Math" panose="02040503050406030204" pitchFamily="18" charset="0"/>
                      </a:rPr>
                      <m:t> </m:t>
                    </m:r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19" name="TextBox 18"/>
            <xdr:cNvSpPr txBox="1"/>
          </xdr:nvSpPr>
          <xdr:spPr>
            <a:xfrm>
              <a:off x="16800715" y="367146"/>
              <a:ext cx="25635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tr-TR" sz="1100" b="0" i="0">
                  <a:latin typeface="Cambria Math" panose="02040503050406030204" pitchFamily="18" charset="0"/>
                </a:rPr>
                <a:t>ℎ</a:t>
              </a:r>
              <a:r>
                <a:rPr lang="en-GB" sz="1100" b="0" i="0">
                  <a:latin typeface="Cambria Math" panose="02040503050406030204" pitchFamily="18" charset="0"/>
                </a:rPr>
                <a:t>_</a:t>
              </a:r>
              <a:r>
                <a:rPr lang="tr-TR" sz="1100" b="0" i="0">
                  <a:latin typeface="Cambria Math" panose="02040503050406030204" pitchFamily="18" charset="0"/>
                </a:rPr>
                <a:t>𝑠4  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36</xdr:col>
      <xdr:colOff>161405</xdr:colOff>
      <xdr:row>2</xdr:row>
      <xdr:rowOff>693</xdr:rowOff>
    </xdr:from>
    <xdr:ext cx="256352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6" name="TextBox 25"/>
            <xdr:cNvSpPr txBox="1"/>
          </xdr:nvSpPr>
          <xdr:spPr>
            <a:xfrm>
              <a:off x="19329169" y="374766"/>
              <a:ext cx="25635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tr-TR" sz="1100" b="0" i="1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a:rPr lang="tr-TR" sz="1100" b="0" i="1">
                            <a:latin typeface="Cambria Math" panose="02040503050406030204" pitchFamily="18" charset="0"/>
                          </a:rPr>
                          <m:t>𝑠</m:t>
                        </m:r>
                        <m:r>
                          <a:rPr lang="tr-TR" sz="1100" b="0" i="1">
                            <a:latin typeface="Cambria Math" panose="02040503050406030204" pitchFamily="18" charset="0"/>
                          </a:rPr>
                          <m:t>5</m:t>
                        </m:r>
                      </m:sub>
                    </m:sSub>
                    <m:r>
                      <a:rPr lang="tr-TR" sz="1100" b="0" i="1">
                        <a:latin typeface="Cambria Math" panose="02040503050406030204" pitchFamily="18" charset="0"/>
                      </a:rPr>
                      <m:t> </m:t>
                    </m:r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26" name="TextBox 25"/>
            <xdr:cNvSpPr txBox="1"/>
          </xdr:nvSpPr>
          <xdr:spPr>
            <a:xfrm>
              <a:off x="19329169" y="374766"/>
              <a:ext cx="25635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tr-TR" sz="1100" b="0" i="0">
                  <a:latin typeface="Cambria Math" panose="02040503050406030204" pitchFamily="18" charset="0"/>
                </a:rPr>
                <a:t>ℎ</a:t>
              </a:r>
              <a:r>
                <a:rPr lang="en-GB" sz="1100" b="0" i="0">
                  <a:latin typeface="Cambria Math" panose="02040503050406030204" pitchFamily="18" charset="0"/>
                </a:rPr>
                <a:t>_</a:t>
              </a:r>
              <a:r>
                <a:rPr lang="tr-TR" sz="1100" b="0" i="0">
                  <a:latin typeface="Cambria Math" panose="02040503050406030204" pitchFamily="18" charset="0"/>
                </a:rPr>
                <a:t>𝑠5  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22</xdr:col>
      <xdr:colOff>114300</xdr:colOff>
      <xdr:row>1</xdr:row>
      <xdr:rowOff>174567</xdr:rowOff>
    </xdr:from>
    <xdr:ext cx="263277" cy="18485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8" name="TextBox 27"/>
            <xdr:cNvSpPr txBox="1"/>
          </xdr:nvSpPr>
          <xdr:spPr>
            <a:xfrm>
              <a:off x="12202391" y="354676"/>
              <a:ext cx="263277" cy="1848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tr-TR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tr-TR" sz="1100" b="0" i="1">
                            <a:latin typeface="Cambria Math" panose="02040503050406030204" pitchFamily="18" charset="0"/>
                          </a:rPr>
                          <m:t>𝑠</m:t>
                        </m:r>
                        <m:sSub>
                          <m:sSubPr>
                            <m:ctrlPr>
                              <a:rPr lang="tr-TR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tr-TR" sz="11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</m:e>
                          <m:sub>
                            <m:r>
                              <a:rPr lang="tr-TR" sz="1100" b="0" i="1">
                                <a:latin typeface="Cambria Math" panose="02040503050406030204" pitchFamily="18" charset="0"/>
                              </a:rPr>
                              <m:t>3</m:t>
                            </m:r>
                          </m:sub>
                        </m:sSub>
                      </m:sub>
                    </m:sSub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28" name="TextBox 27"/>
            <xdr:cNvSpPr txBox="1"/>
          </xdr:nvSpPr>
          <xdr:spPr>
            <a:xfrm>
              <a:off x="12202391" y="354676"/>
              <a:ext cx="263277" cy="1848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tr-TR" sz="1100" b="0" i="0">
                  <a:latin typeface="Cambria Math" panose="02040503050406030204" pitchFamily="18" charset="0"/>
                </a:rPr>
                <a:t>𝑥</a:t>
              </a:r>
              <a:r>
                <a:rPr lang="en-GB" sz="1100" b="0" i="0">
                  <a:latin typeface="Cambria Math" panose="02040503050406030204" pitchFamily="18" charset="0"/>
                </a:rPr>
                <a:t>_(</a:t>
              </a:r>
              <a:r>
                <a:rPr lang="tr-TR" sz="1100" b="0" i="0">
                  <a:latin typeface="Cambria Math" panose="02040503050406030204" pitchFamily="18" charset="0"/>
                </a:rPr>
                <a:t>𝑠𝑡_3 </a:t>
              </a:r>
              <a:r>
                <a:rPr lang="en-GB" sz="1100" b="0" i="0">
                  <a:latin typeface="Cambria Math" panose="02040503050406030204" pitchFamily="18" charset="0"/>
                </a:rPr>
                <a:t>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27</xdr:col>
      <xdr:colOff>131618</xdr:colOff>
      <xdr:row>1</xdr:row>
      <xdr:rowOff>180108</xdr:rowOff>
    </xdr:from>
    <xdr:ext cx="263277" cy="18408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3" name="TextBox 32"/>
            <xdr:cNvSpPr txBox="1"/>
          </xdr:nvSpPr>
          <xdr:spPr>
            <a:xfrm>
              <a:off x="14748163" y="360217"/>
              <a:ext cx="263277" cy="1840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tr-TR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tr-TR" sz="1100" b="0" i="1">
                            <a:latin typeface="Cambria Math" panose="02040503050406030204" pitchFamily="18" charset="0"/>
                          </a:rPr>
                          <m:t>𝑠</m:t>
                        </m:r>
                        <m:sSub>
                          <m:sSubPr>
                            <m:ctrlPr>
                              <a:rPr lang="tr-TR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tr-TR" sz="11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</m:e>
                          <m:sub>
                            <m:r>
                              <a:rPr lang="tr-TR" sz="1100" b="0" i="1">
                                <a:latin typeface="Cambria Math" panose="02040503050406030204" pitchFamily="18" charset="0"/>
                              </a:rPr>
                              <m:t>4</m:t>
                            </m:r>
                          </m:sub>
                        </m:sSub>
                      </m:sub>
                    </m:sSub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33" name="TextBox 32"/>
            <xdr:cNvSpPr txBox="1"/>
          </xdr:nvSpPr>
          <xdr:spPr>
            <a:xfrm>
              <a:off x="14748163" y="360217"/>
              <a:ext cx="263277" cy="1840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tr-TR" sz="1100" b="0" i="0">
                  <a:latin typeface="Cambria Math" panose="02040503050406030204" pitchFamily="18" charset="0"/>
                </a:rPr>
                <a:t>𝑥</a:t>
              </a:r>
              <a:r>
                <a:rPr lang="en-GB" sz="1100" b="0" i="0">
                  <a:latin typeface="Cambria Math" panose="02040503050406030204" pitchFamily="18" charset="0"/>
                </a:rPr>
                <a:t>_(</a:t>
              </a:r>
              <a:r>
                <a:rPr lang="tr-TR" sz="1100" b="0" i="0">
                  <a:latin typeface="Cambria Math" panose="02040503050406030204" pitchFamily="18" charset="0"/>
                </a:rPr>
                <a:t>𝑠𝑡_4 </a:t>
              </a:r>
              <a:r>
                <a:rPr lang="en-GB" sz="1100" b="0" i="0">
                  <a:latin typeface="Cambria Math" panose="02040503050406030204" pitchFamily="18" charset="0"/>
                </a:rPr>
                <a:t>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32</xdr:col>
      <xdr:colOff>138545</xdr:colOff>
      <xdr:row>1</xdr:row>
      <xdr:rowOff>180109</xdr:rowOff>
    </xdr:from>
    <xdr:ext cx="263277" cy="18505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5" name="TextBox 34"/>
            <xdr:cNvSpPr txBox="1"/>
          </xdr:nvSpPr>
          <xdr:spPr>
            <a:xfrm>
              <a:off x="17283545" y="360218"/>
              <a:ext cx="263277" cy="1850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tr-TR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tr-TR" sz="1100" b="0" i="1">
                            <a:latin typeface="Cambria Math" panose="02040503050406030204" pitchFamily="18" charset="0"/>
                          </a:rPr>
                          <m:t>𝑠</m:t>
                        </m:r>
                        <m:sSub>
                          <m:sSubPr>
                            <m:ctrlPr>
                              <a:rPr lang="tr-TR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tr-TR" sz="11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</m:e>
                          <m:sub>
                            <m:r>
                              <a:rPr lang="tr-TR" sz="1100" b="0" i="1">
                                <a:latin typeface="Cambria Math" panose="02040503050406030204" pitchFamily="18" charset="0"/>
                              </a:rPr>
                              <m:t>5</m:t>
                            </m:r>
                          </m:sub>
                        </m:sSub>
                      </m:sub>
                    </m:sSub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35" name="TextBox 34"/>
            <xdr:cNvSpPr txBox="1"/>
          </xdr:nvSpPr>
          <xdr:spPr>
            <a:xfrm>
              <a:off x="17283545" y="360218"/>
              <a:ext cx="263277" cy="1850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tr-TR" sz="1100" b="0" i="0">
                  <a:latin typeface="Cambria Math" panose="02040503050406030204" pitchFamily="18" charset="0"/>
                </a:rPr>
                <a:t>𝑥</a:t>
              </a:r>
              <a:r>
                <a:rPr lang="en-GB" sz="1100" b="0" i="0">
                  <a:latin typeface="Cambria Math" panose="02040503050406030204" pitchFamily="18" charset="0"/>
                </a:rPr>
                <a:t>_(</a:t>
              </a:r>
              <a:r>
                <a:rPr lang="tr-TR" sz="1100" b="0" i="0">
                  <a:latin typeface="Cambria Math" panose="02040503050406030204" pitchFamily="18" charset="0"/>
                </a:rPr>
                <a:t>𝑠𝑡_5 </a:t>
              </a:r>
              <a:r>
                <a:rPr lang="en-GB" sz="1100" b="0" i="0">
                  <a:latin typeface="Cambria Math" panose="02040503050406030204" pitchFamily="18" charset="0"/>
                </a:rPr>
                <a:t>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37</xdr:col>
      <xdr:colOff>159327</xdr:colOff>
      <xdr:row>1</xdr:row>
      <xdr:rowOff>180110</xdr:rowOff>
    </xdr:from>
    <xdr:ext cx="263277" cy="18505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7" name="TextBox 36"/>
            <xdr:cNvSpPr txBox="1"/>
          </xdr:nvSpPr>
          <xdr:spPr>
            <a:xfrm>
              <a:off x="19832782" y="360219"/>
              <a:ext cx="263277" cy="1850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tr-TR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tr-TR" sz="1100" b="0" i="1">
                            <a:latin typeface="Cambria Math" panose="02040503050406030204" pitchFamily="18" charset="0"/>
                          </a:rPr>
                          <m:t>𝑠</m:t>
                        </m:r>
                        <m:sSub>
                          <m:sSubPr>
                            <m:ctrlPr>
                              <a:rPr lang="tr-TR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tr-TR" sz="11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</m:e>
                          <m:sub>
                            <m:r>
                              <a:rPr lang="tr-TR" sz="1100" b="0" i="1">
                                <a:latin typeface="Cambria Math" panose="02040503050406030204" pitchFamily="18" charset="0"/>
                              </a:rPr>
                              <m:t>6</m:t>
                            </m:r>
                          </m:sub>
                        </m:sSub>
                      </m:sub>
                    </m:sSub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37" name="TextBox 36"/>
            <xdr:cNvSpPr txBox="1"/>
          </xdr:nvSpPr>
          <xdr:spPr>
            <a:xfrm>
              <a:off x="19832782" y="360219"/>
              <a:ext cx="263277" cy="1850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tr-TR" sz="1100" b="0" i="0">
                  <a:latin typeface="Cambria Math" panose="02040503050406030204" pitchFamily="18" charset="0"/>
                </a:rPr>
                <a:t>𝑥</a:t>
              </a:r>
              <a:r>
                <a:rPr lang="en-GB" sz="1100" b="0" i="0">
                  <a:latin typeface="Cambria Math" panose="02040503050406030204" pitchFamily="18" charset="0"/>
                </a:rPr>
                <a:t>_(</a:t>
              </a:r>
              <a:r>
                <a:rPr lang="tr-TR" sz="1100" b="0" i="0">
                  <a:latin typeface="Cambria Math" panose="02040503050406030204" pitchFamily="18" charset="0"/>
                </a:rPr>
                <a:t>𝑠𝑡_6 </a:t>
              </a:r>
              <a:r>
                <a:rPr lang="en-GB" sz="1100" b="0" i="0">
                  <a:latin typeface="Cambria Math" panose="02040503050406030204" pitchFamily="18" charset="0"/>
                </a:rPr>
                <a:t>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18</xdr:col>
      <xdr:colOff>96981</xdr:colOff>
      <xdr:row>2</xdr:row>
      <xdr:rowOff>6927</xdr:rowOff>
    </xdr:from>
    <xdr:ext cx="387477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9" name="TextBox 38"/>
            <xdr:cNvSpPr txBox="1"/>
          </xdr:nvSpPr>
          <xdr:spPr>
            <a:xfrm>
              <a:off x="10162308" y="381000"/>
              <a:ext cx="38747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𝜙</m:t>
                    </m:r>
                    <m:d>
                      <m:dPr>
                        <m:ctrlPr>
                          <a:rPr lang="tr-T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tr-T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tr-T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tr-T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b>
                        </m:sSub>
                      </m:e>
                    </m: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39" name="TextBox 38"/>
            <xdr:cNvSpPr txBox="1"/>
          </xdr:nvSpPr>
          <xdr:spPr>
            <a:xfrm>
              <a:off x="10162308" y="381000"/>
              <a:ext cx="38747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𝜙</a:t>
              </a:r>
              <a:r>
                <a:rPr lang="tr-T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(𝑥_2 )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23</xdr:col>
      <xdr:colOff>96982</xdr:colOff>
      <xdr:row>2</xdr:row>
      <xdr:rowOff>0</xdr:rowOff>
    </xdr:from>
    <xdr:ext cx="387477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1" name="TextBox 40"/>
            <xdr:cNvSpPr txBox="1"/>
          </xdr:nvSpPr>
          <xdr:spPr>
            <a:xfrm>
              <a:off x="12690764" y="374073"/>
              <a:ext cx="38747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𝜙</m:t>
                    </m:r>
                    <m:d>
                      <m:dPr>
                        <m:ctrlPr>
                          <a:rPr lang="tr-T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tr-T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tr-T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tr-T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3</m:t>
                            </m:r>
                          </m:sub>
                        </m:sSub>
                      </m:e>
                    </m: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1" name="TextBox 40"/>
            <xdr:cNvSpPr txBox="1"/>
          </xdr:nvSpPr>
          <xdr:spPr>
            <a:xfrm>
              <a:off x="12690764" y="374073"/>
              <a:ext cx="38747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𝜙</a:t>
              </a:r>
              <a:r>
                <a:rPr lang="tr-T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(𝑥_3 )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28</xdr:col>
      <xdr:colOff>83128</xdr:colOff>
      <xdr:row>2</xdr:row>
      <xdr:rowOff>6927</xdr:rowOff>
    </xdr:from>
    <xdr:ext cx="387477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3" name="TextBox 42"/>
            <xdr:cNvSpPr txBox="1"/>
          </xdr:nvSpPr>
          <xdr:spPr>
            <a:xfrm>
              <a:off x="15205364" y="381000"/>
              <a:ext cx="38747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𝜙</m:t>
                    </m:r>
                    <m:d>
                      <m:dPr>
                        <m:ctrlPr>
                          <a:rPr lang="tr-T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tr-T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tr-T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tr-T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4</m:t>
                            </m:r>
                          </m:sub>
                        </m:sSub>
                      </m:e>
                    </m: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3" name="TextBox 42"/>
            <xdr:cNvSpPr txBox="1"/>
          </xdr:nvSpPr>
          <xdr:spPr>
            <a:xfrm>
              <a:off x="15205364" y="381000"/>
              <a:ext cx="38747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𝜙</a:t>
              </a:r>
              <a:r>
                <a:rPr lang="tr-T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(𝑥_4 )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33</xdr:col>
      <xdr:colOff>83127</xdr:colOff>
      <xdr:row>2</xdr:row>
      <xdr:rowOff>6928</xdr:rowOff>
    </xdr:from>
    <xdr:ext cx="387477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5" name="TextBox 44"/>
            <xdr:cNvSpPr txBox="1"/>
          </xdr:nvSpPr>
          <xdr:spPr>
            <a:xfrm>
              <a:off x="17733818" y="381001"/>
              <a:ext cx="38747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𝜙</m:t>
                    </m:r>
                    <m:d>
                      <m:dPr>
                        <m:ctrlPr>
                          <a:rPr lang="tr-T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tr-T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tr-T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tr-T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5</m:t>
                            </m:r>
                          </m:sub>
                        </m:sSub>
                      </m:e>
                    </m: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5" name="TextBox 44"/>
            <xdr:cNvSpPr txBox="1"/>
          </xdr:nvSpPr>
          <xdr:spPr>
            <a:xfrm>
              <a:off x="17733818" y="381001"/>
              <a:ext cx="38747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𝜙</a:t>
              </a:r>
              <a:r>
                <a:rPr lang="tr-T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(𝑥_5 )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19</xdr:col>
      <xdr:colOff>76200</xdr:colOff>
      <xdr:row>2</xdr:row>
      <xdr:rowOff>6927</xdr:rowOff>
    </xdr:from>
    <xdr:ext cx="42319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7" name="TextBox 46"/>
            <xdr:cNvSpPr txBox="1"/>
          </xdr:nvSpPr>
          <xdr:spPr>
            <a:xfrm>
              <a:off x="10647218" y="381000"/>
              <a:ext cx="42319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tr-T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tr-T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𝜇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𝑠</m:t>
                        </m:r>
                      </m:sub>
                    </m:sSub>
                    <m:d>
                      <m:dPr>
                        <m:ctrlPr>
                          <a:rPr lang="tr-T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tr-T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tr-T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tr-T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b>
                        </m:sSub>
                      </m:e>
                    </m: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7" name="TextBox 46"/>
            <xdr:cNvSpPr txBox="1"/>
          </xdr:nvSpPr>
          <xdr:spPr>
            <a:xfrm>
              <a:off x="10647218" y="381000"/>
              <a:ext cx="42319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tr-T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𝜇_</a:t>
              </a:r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𝑠</a:t>
              </a:r>
              <a:r>
                <a:rPr lang="tr-T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(𝑥_2 )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24</xdr:col>
      <xdr:colOff>76200</xdr:colOff>
      <xdr:row>2</xdr:row>
      <xdr:rowOff>0</xdr:rowOff>
    </xdr:from>
    <xdr:ext cx="42319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9" name="TextBox 48"/>
            <xdr:cNvSpPr txBox="1"/>
          </xdr:nvSpPr>
          <xdr:spPr>
            <a:xfrm>
              <a:off x="13175673" y="374073"/>
              <a:ext cx="42319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tr-T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tr-T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𝜇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𝑠</m:t>
                        </m:r>
                      </m:sub>
                    </m:sSub>
                    <m:d>
                      <m:dPr>
                        <m:ctrlPr>
                          <a:rPr lang="tr-T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tr-T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tr-T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tr-T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3</m:t>
                            </m:r>
                          </m:sub>
                        </m:sSub>
                      </m:e>
                    </m: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9" name="TextBox 48"/>
            <xdr:cNvSpPr txBox="1"/>
          </xdr:nvSpPr>
          <xdr:spPr>
            <a:xfrm>
              <a:off x="13175673" y="374073"/>
              <a:ext cx="42319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tr-T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𝜇_</a:t>
              </a:r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𝑠</a:t>
              </a:r>
              <a:r>
                <a:rPr lang="tr-T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(𝑥_3 )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29</xdr:col>
      <xdr:colOff>62345</xdr:colOff>
      <xdr:row>2</xdr:row>
      <xdr:rowOff>0</xdr:rowOff>
    </xdr:from>
    <xdr:ext cx="42319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1" name="TextBox 50"/>
            <xdr:cNvSpPr txBox="1"/>
          </xdr:nvSpPr>
          <xdr:spPr>
            <a:xfrm>
              <a:off x="15690272" y="374073"/>
              <a:ext cx="42319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tr-T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tr-T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𝜇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𝑠</m:t>
                        </m:r>
                      </m:sub>
                    </m:sSub>
                    <m:d>
                      <m:dPr>
                        <m:ctrlPr>
                          <a:rPr lang="tr-T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tr-T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tr-T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tr-T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4</m:t>
                            </m:r>
                          </m:sub>
                        </m:sSub>
                      </m:e>
                    </m: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51" name="TextBox 50"/>
            <xdr:cNvSpPr txBox="1"/>
          </xdr:nvSpPr>
          <xdr:spPr>
            <a:xfrm>
              <a:off x="15690272" y="374073"/>
              <a:ext cx="42319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tr-T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𝜇_</a:t>
              </a:r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𝑠</a:t>
              </a:r>
              <a:r>
                <a:rPr lang="tr-T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(𝑥_4 )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34</xdr:col>
      <xdr:colOff>69272</xdr:colOff>
      <xdr:row>2</xdr:row>
      <xdr:rowOff>0</xdr:rowOff>
    </xdr:from>
    <xdr:ext cx="42319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3" name="TextBox 52"/>
            <xdr:cNvSpPr txBox="1"/>
          </xdr:nvSpPr>
          <xdr:spPr>
            <a:xfrm>
              <a:off x="18225654" y="374073"/>
              <a:ext cx="42319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tr-T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tr-T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𝜇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𝑠</m:t>
                        </m:r>
                      </m:sub>
                    </m:sSub>
                    <m:d>
                      <m:dPr>
                        <m:ctrlPr>
                          <a:rPr lang="tr-T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tr-T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tr-T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tr-T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5</m:t>
                            </m:r>
                          </m:sub>
                        </m:sSub>
                      </m:e>
                    </m: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53" name="TextBox 52"/>
            <xdr:cNvSpPr txBox="1"/>
          </xdr:nvSpPr>
          <xdr:spPr>
            <a:xfrm>
              <a:off x="18225654" y="374073"/>
              <a:ext cx="42319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tr-T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𝜇_</a:t>
              </a:r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𝑠</a:t>
              </a:r>
              <a:r>
                <a:rPr lang="tr-T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(𝑥_5 )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20</xdr:col>
      <xdr:colOff>62345</xdr:colOff>
      <xdr:row>2</xdr:row>
      <xdr:rowOff>6927</xdr:rowOff>
    </xdr:from>
    <xdr:ext cx="43043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5" name="TextBox 54"/>
            <xdr:cNvSpPr txBox="1"/>
          </xdr:nvSpPr>
          <xdr:spPr>
            <a:xfrm>
              <a:off x="11139054" y="381000"/>
              <a:ext cx="43043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tr-T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𝛼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𝑠</m:t>
                        </m:r>
                      </m:sub>
                    </m:sSub>
                    <m:d>
                      <m:dPr>
                        <m:ctrlPr>
                          <a:rPr lang="tr-T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tr-T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tr-T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tr-T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b>
                        </m:sSub>
                      </m:e>
                    </m: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55" name="TextBox 54"/>
            <xdr:cNvSpPr txBox="1"/>
          </xdr:nvSpPr>
          <xdr:spPr>
            <a:xfrm>
              <a:off x="11139054" y="381000"/>
              <a:ext cx="43043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𝛼</a:t>
              </a:r>
              <a:r>
                <a:rPr lang="tr-T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_</a:t>
              </a:r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𝑠</a:t>
              </a:r>
              <a:r>
                <a:rPr lang="tr-T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(𝑥_2 )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25</xdr:col>
      <xdr:colOff>62345</xdr:colOff>
      <xdr:row>2</xdr:row>
      <xdr:rowOff>6927</xdr:rowOff>
    </xdr:from>
    <xdr:ext cx="43043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7" name="TextBox 56"/>
            <xdr:cNvSpPr txBox="1"/>
          </xdr:nvSpPr>
          <xdr:spPr>
            <a:xfrm>
              <a:off x="13667509" y="381000"/>
              <a:ext cx="43043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tr-T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𝛼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𝑠</m:t>
                        </m:r>
                      </m:sub>
                    </m:sSub>
                    <m:d>
                      <m:dPr>
                        <m:ctrlPr>
                          <a:rPr lang="tr-T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tr-T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tr-T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tr-T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3</m:t>
                            </m:r>
                          </m:sub>
                        </m:sSub>
                      </m:e>
                    </m: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57" name="TextBox 56"/>
            <xdr:cNvSpPr txBox="1"/>
          </xdr:nvSpPr>
          <xdr:spPr>
            <a:xfrm>
              <a:off x="13667509" y="381000"/>
              <a:ext cx="43043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𝛼</a:t>
              </a:r>
              <a:r>
                <a:rPr lang="tr-T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_</a:t>
              </a:r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𝑠</a:t>
              </a:r>
              <a:r>
                <a:rPr lang="tr-T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(𝑥_3 )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30</xdr:col>
      <xdr:colOff>55418</xdr:colOff>
      <xdr:row>1</xdr:row>
      <xdr:rowOff>193963</xdr:rowOff>
    </xdr:from>
    <xdr:ext cx="43043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9" name="TextBox 58"/>
            <xdr:cNvSpPr txBox="1"/>
          </xdr:nvSpPr>
          <xdr:spPr>
            <a:xfrm>
              <a:off x="16189036" y="374072"/>
              <a:ext cx="43043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tr-T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𝛼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𝑠</m:t>
                        </m:r>
                      </m:sub>
                    </m:sSub>
                    <m:d>
                      <m:dPr>
                        <m:ctrlPr>
                          <a:rPr lang="tr-T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tr-T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tr-T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tr-T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4</m:t>
                            </m:r>
                          </m:sub>
                        </m:sSub>
                      </m:e>
                    </m: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59" name="TextBox 58"/>
            <xdr:cNvSpPr txBox="1"/>
          </xdr:nvSpPr>
          <xdr:spPr>
            <a:xfrm>
              <a:off x="16189036" y="374072"/>
              <a:ext cx="43043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𝛼</a:t>
              </a:r>
              <a:r>
                <a:rPr lang="tr-T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_</a:t>
              </a:r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𝑠</a:t>
              </a:r>
              <a:r>
                <a:rPr lang="tr-T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(𝑥_4 )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35</xdr:col>
      <xdr:colOff>69273</xdr:colOff>
      <xdr:row>1</xdr:row>
      <xdr:rowOff>193963</xdr:rowOff>
    </xdr:from>
    <xdr:ext cx="43043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1" name="TextBox 60"/>
            <xdr:cNvSpPr txBox="1"/>
          </xdr:nvSpPr>
          <xdr:spPr>
            <a:xfrm>
              <a:off x="18731346" y="374072"/>
              <a:ext cx="43043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tr-T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𝛼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𝑠</m:t>
                        </m:r>
                      </m:sub>
                    </m:sSub>
                    <m:d>
                      <m:dPr>
                        <m:ctrlPr>
                          <a:rPr lang="tr-T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tr-T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tr-T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tr-T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5</m:t>
                            </m:r>
                          </m:sub>
                        </m:sSub>
                      </m:e>
                    </m: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61" name="TextBox 60"/>
            <xdr:cNvSpPr txBox="1"/>
          </xdr:nvSpPr>
          <xdr:spPr>
            <a:xfrm>
              <a:off x="18731346" y="374072"/>
              <a:ext cx="43043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𝛼</a:t>
              </a:r>
              <a:r>
                <a:rPr lang="tr-T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_</a:t>
              </a:r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𝑠</a:t>
              </a:r>
              <a:r>
                <a:rPr lang="tr-T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(𝑥_5 )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9</xdr:col>
      <xdr:colOff>221673</xdr:colOff>
      <xdr:row>2</xdr:row>
      <xdr:rowOff>0</xdr:rowOff>
    </xdr:from>
    <xdr:ext cx="164340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8" name="TextBox 37"/>
            <xdr:cNvSpPr txBox="1"/>
          </xdr:nvSpPr>
          <xdr:spPr>
            <a:xfrm>
              <a:off x="5708073" y="374073"/>
              <a:ext cx="16434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tr-TR" sz="1100" b="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tr-TR" sz="11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tr-TR" sz="1100" b="0" i="1">
                        <a:latin typeface="Cambria Math" panose="02040503050406030204" pitchFamily="18" charset="0"/>
                      </a:rPr>
                      <m:t> </m:t>
                    </m:r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38" name="TextBox 37"/>
            <xdr:cNvSpPr txBox="1"/>
          </xdr:nvSpPr>
          <xdr:spPr>
            <a:xfrm>
              <a:off x="5708073" y="374073"/>
              <a:ext cx="16434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tr-TR" sz="1100" b="0" i="0">
                  <a:latin typeface="Cambria Math" panose="02040503050406030204" pitchFamily="18" charset="0"/>
                </a:rPr>
                <a:t>𝑟</a:t>
              </a:r>
              <a:r>
                <a:rPr lang="en-GB" sz="1100" b="0" i="0">
                  <a:latin typeface="Cambria Math" panose="02040503050406030204" pitchFamily="18" charset="0"/>
                </a:rPr>
                <a:t>_</a:t>
              </a:r>
              <a:r>
                <a:rPr lang="tr-TR" sz="1100" b="0" i="0">
                  <a:latin typeface="Cambria Math" panose="02040503050406030204" pitchFamily="18" charset="0"/>
                </a:rPr>
                <a:t>𝑠  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10</xdr:col>
      <xdr:colOff>214746</xdr:colOff>
      <xdr:row>2</xdr:row>
      <xdr:rowOff>6927</xdr:rowOff>
    </xdr:from>
    <xdr:ext cx="182101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2" name="TextBox 41"/>
            <xdr:cNvSpPr txBox="1"/>
          </xdr:nvSpPr>
          <xdr:spPr>
            <a:xfrm>
              <a:off x="6310746" y="381000"/>
              <a:ext cx="18210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tr-TR" sz="1100" b="0" i="1">
                            <a:latin typeface="Cambria Math" panose="02040503050406030204" pitchFamily="18" charset="0"/>
                          </a:rPr>
                          <m:t>𝑐</m:t>
                        </m:r>
                      </m:e>
                      <m:sub>
                        <m:r>
                          <a:rPr lang="tr-TR" sz="11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tr-TR" sz="1100" b="0" i="1">
                        <a:latin typeface="Cambria Math" panose="02040503050406030204" pitchFamily="18" charset="0"/>
                      </a:rPr>
                      <m:t> </m:t>
                    </m:r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2" name="TextBox 41"/>
            <xdr:cNvSpPr txBox="1"/>
          </xdr:nvSpPr>
          <xdr:spPr>
            <a:xfrm>
              <a:off x="6310746" y="381000"/>
              <a:ext cx="18210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tr-TR" sz="1100" b="0" i="0">
                  <a:latin typeface="Cambria Math" panose="02040503050406030204" pitchFamily="18" charset="0"/>
                </a:rPr>
                <a:t>𝑐</a:t>
              </a:r>
              <a:r>
                <a:rPr lang="en-GB" sz="1100" b="0" i="0">
                  <a:latin typeface="Cambria Math" panose="02040503050406030204" pitchFamily="18" charset="0"/>
                </a:rPr>
                <a:t>_</a:t>
              </a:r>
              <a:r>
                <a:rPr lang="tr-TR" sz="1100" b="0" i="0">
                  <a:latin typeface="Cambria Math" panose="02040503050406030204" pitchFamily="18" charset="0"/>
                </a:rPr>
                <a:t>𝑠  </a:t>
              </a:r>
              <a:endParaRPr lang="en-GB" sz="1100"/>
            </a:p>
          </xdr:txBody>
        </xdr:sp>
      </mc:Fallback>
    </mc:AlternateContent>
    <xdr:clientData/>
  </xdr:oneCellAnchor>
  <xdr:twoCellAnchor>
    <xdr:from>
      <xdr:col>8</xdr:col>
      <xdr:colOff>124691</xdr:colOff>
      <xdr:row>20</xdr:row>
      <xdr:rowOff>27709</xdr:rowOff>
    </xdr:from>
    <xdr:to>
      <xdr:col>9</xdr:col>
      <xdr:colOff>166255</xdr:colOff>
      <xdr:row>22</xdr:row>
      <xdr:rowOff>62345</xdr:rowOff>
    </xdr:to>
    <xdr:sp macro="[0]!Macro1" textlink="">
      <xdr:nvSpPr>
        <xdr:cNvPr id="2" name="Rounded Rectangle 1"/>
        <xdr:cNvSpPr/>
      </xdr:nvSpPr>
      <xdr:spPr>
        <a:xfrm>
          <a:off x="5001491" y="3629891"/>
          <a:ext cx="651164" cy="39485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AL49"/>
  <sheetViews>
    <sheetView tabSelected="1" zoomScale="110" zoomScaleNormal="110" workbookViewId="0">
      <selection activeCell="O21" sqref="O21"/>
    </sheetView>
  </sheetViews>
  <sheetFormatPr defaultRowHeight="14.4" x14ac:dyDescent="0.3"/>
  <cols>
    <col min="1" max="7" width="8.88671875" style="5"/>
    <col min="8" max="9" width="9.109375" style="5" customWidth="1"/>
    <col min="10" max="38" width="7.33203125" style="5" customWidth="1"/>
    <col min="39" max="16384" width="8.88671875" style="5"/>
  </cols>
  <sheetData>
    <row r="2" spans="3:38" ht="15" thickBot="1" x14ac:dyDescent="0.35">
      <c r="C2" s="5">
        <v>0</v>
      </c>
    </row>
    <row r="3" spans="3:38" ht="15" thickBot="1" x14ac:dyDescent="0.35">
      <c r="H3" s="4" t="s">
        <v>0</v>
      </c>
      <c r="I3" s="4"/>
      <c r="J3" s="4"/>
      <c r="K3" s="4"/>
      <c r="L3" s="20" t="s">
        <v>7</v>
      </c>
      <c r="M3" s="4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</row>
    <row r="4" spans="3:38" x14ac:dyDescent="0.3">
      <c r="H4" s="3">
        <v>1</v>
      </c>
      <c r="I4" s="3">
        <v>2.5</v>
      </c>
      <c r="J4" s="3">
        <v>150</v>
      </c>
      <c r="K4" s="3">
        <f>125-B45</f>
        <v>0</v>
      </c>
      <c r="L4" s="3">
        <f>I4/100</f>
        <v>2.5000000000000001E-2</v>
      </c>
      <c r="M4" s="10">
        <v>1000</v>
      </c>
      <c r="N4" s="10">
        <v>500</v>
      </c>
      <c r="O4" s="11">
        <v>0.1</v>
      </c>
      <c r="P4" s="11">
        <v>0.08</v>
      </c>
      <c r="Q4" s="12">
        <f>ROUNDDOWN(B20,0)</f>
        <v>175</v>
      </c>
      <c r="R4" s="13">
        <f>ROUNDDOWN(N4+(1-P4-O4)*M4-Q4,0)</f>
        <v>1145</v>
      </c>
      <c r="S4" s="13">
        <f>N4</f>
        <v>500</v>
      </c>
      <c r="T4" s="11">
        <v>0.1</v>
      </c>
      <c r="U4" s="11">
        <v>0.09</v>
      </c>
      <c r="V4" s="12">
        <f>ROUNDDOWN(B25,0)</f>
        <v>329</v>
      </c>
      <c r="W4" s="13">
        <f>ROUNDDOWN(S4+(1-U4-T4)*R4-V4,0)</f>
        <v>1098</v>
      </c>
      <c r="X4" s="13">
        <f>N4</f>
        <v>500</v>
      </c>
      <c r="Y4" s="11">
        <v>0.1</v>
      </c>
      <c r="Z4" s="11">
        <v>0.1</v>
      </c>
      <c r="AA4" s="12">
        <f>ROUNDDOWN(B30,0)</f>
        <v>498</v>
      </c>
      <c r="AB4" s="13">
        <f>ROUNDDOWN(X4+(1-Z4-Y4)*W4-AA4,0)</f>
        <v>880</v>
      </c>
      <c r="AC4" s="13">
        <f>N4</f>
        <v>500</v>
      </c>
      <c r="AD4" s="11">
        <v>0.08</v>
      </c>
      <c r="AE4" s="11">
        <v>0.1</v>
      </c>
      <c r="AF4" s="3">
        <f>ROUNDDOWN(B35,0)</f>
        <v>57</v>
      </c>
      <c r="AG4" s="3">
        <f>ROUNDDOWN(AC4+(1-AE4-AD4)*AB4-AF4,0)</f>
        <v>1164</v>
      </c>
      <c r="AH4" s="10">
        <f>N4</f>
        <v>500</v>
      </c>
      <c r="AI4" s="3">
        <v>0.08</v>
      </c>
      <c r="AJ4" s="3">
        <v>0.1</v>
      </c>
      <c r="AK4" s="12">
        <f>ROUNDDOWN(B40,0)</f>
        <v>767</v>
      </c>
      <c r="AL4" s="12">
        <f>ROUNDDOWN(AH4+(1-AJ4-AI4)*AG4-AK4,0)</f>
        <v>687</v>
      </c>
    </row>
    <row r="5" spans="3:38" x14ac:dyDescent="0.3">
      <c r="H5" s="2">
        <v>2</v>
      </c>
      <c r="I5" s="2">
        <v>7.5</v>
      </c>
      <c r="J5" s="3">
        <v>175</v>
      </c>
      <c r="K5" s="3">
        <f>100-B46</f>
        <v>0</v>
      </c>
      <c r="L5" s="3">
        <f t="shared" ref="L5:L8" si="0">I5/100</f>
        <v>7.4999999999999997E-2</v>
      </c>
      <c r="M5" s="10">
        <v>1000</v>
      </c>
      <c r="N5" s="9"/>
      <c r="O5" s="7">
        <v>0.1</v>
      </c>
      <c r="P5" s="7">
        <v>0.09</v>
      </c>
      <c r="Q5" s="12">
        <f>ROUNDDOWN(B21,0)</f>
        <v>778</v>
      </c>
      <c r="R5" s="14">
        <f>ROUNDDOWN(P4*M4+(1-P5-O5)*M5-Q5,0)</f>
        <v>112</v>
      </c>
      <c r="S5" s="7"/>
      <c r="T5" s="7">
        <v>0.1</v>
      </c>
      <c r="U5" s="7">
        <v>0.08</v>
      </c>
      <c r="V5" s="12">
        <f>ROUNDDOWN(B26,0)</f>
        <v>30</v>
      </c>
      <c r="W5" s="14">
        <f>ROUNDDOWN(R4*U4+(1-U5-T5)*R5-V5,0)</f>
        <v>164</v>
      </c>
      <c r="X5" s="7"/>
      <c r="Y5" s="7">
        <v>0.1</v>
      </c>
      <c r="Z5" s="7">
        <v>0.1</v>
      </c>
      <c r="AA5" s="12">
        <f>ROUNDDOWN(B31,0)</f>
        <v>40</v>
      </c>
      <c r="AB5" s="14">
        <f>ROUNDDOWN(W4*Z4+(1-Z5-Y5)*W5-AA5,0)</f>
        <v>201</v>
      </c>
      <c r="AC5" s="7"/>
      <c r="AD5" s="7">
        <v>0.1</v>
      </c>
      <c r="AE5" s="7">
        <v>0.1</v>
      </c>
      <c r="AF5" s="3">
        <f>ROUNDDOWN(B36,0)</f>
        <v>169</v>
      </c>
      <c r="AG5" s="2">
        <f>ROUNDDOWN(AB4*AE4+(1-AE5-AD5)*AB5-AF5,0)</f>
        <v>79</v>
      </c>
      <c r="AH5" s="2"/>
      <c r="AI5" s="2">
        <v>0.1</v>
      </c>
      <c r="AJ5" s="2">
        <v>0.1</v>
      </c>
      <c r="AK5" s="12">
        <f>ROUNDDOWN(B41,0)</f>
        <v>75</v>
      </c>
      <c r="AL5" s="9">
        <f>ROUNDDOWN(AG4*AJ4+(1-AJ5-AI5)*AG5-AK5,0)</f>
        <v>104</v>
      </c>
    </row>
    <row r="6" spans="3:38" x14ac:dyDescent="0.3">
      <c r="H6" s="2">
        <v>3</v>
      </c>
      <c r="I6" s="2">
        <v>12.5</v>
      </c>
      <c r="J6" s="3">
        <v>200</v>
      </c>
      <c r="K6" s="3">
        <f>75-B47</f>
        <v>0</v>
      </c>
      <c r="L6" s="3">
        <f t="shared" si="0"/>
        <v>0.125</v>
      </c>
      <c r="M6" s="10">
        <v>1000</v>
      </c>
      <c r="N6" s="9"/>
      <c r="O6" s="7">
        <v>0.1</v>
      </c>
      <c r="P6" s="7">
        <v>0.1</v>
      </c>
      <c r="Q6" s="12">
        <f>ROUNDDOWN(B22,0)</f>
        <v>672</v>
      </c>
      <c r="R6" s="14">
        <f>ROUNDDOWN(P5*M5+(1-P6-O6)*M6-Q6,0)</f>
        <v>218</v>
      </c>
      <c r="S6" s="7"/>
      <c r="T6" s="7">
        <v>0.1</v>
      </c>
      <c r="U6" s="7">
        <v>0.1</v>
      </c>
      <c r="V6" s="12">
        <f>ROUNDDOWN(B27,0)</f>
        <v>82</v>
      </c>
      <c r="W6" s="14">
        <f>ROUNDDOWN(R5*U5+(1-U6-T6)*R6-V6,0)</f>
        <v>101</v>
      </c>
      <c r="X6" s="7"/>
      <c r="Y6" s="7">
        <v>0.1</v>
      </c>
      <c r="Z6" s="7">
        <v>0.08</v>
      </c>
      <c r="AA6" s="12">
        <f>ROUNDDOWN(B32,0)</f>
        <v>79</v>
      </c>
      <c r="AB6" s="14">
        <f>ROUNDDOWN(W5*Z5+(1-Z6-Y6)*W6-AA6,0)</f>
        <v>20</v>
      </c>
      <c r="AC6" s="7"/>
      <c r="AD6" s="7">
        <v>0.09</v>
      </c>
      <c r="AE6" s="7">
        <v>0.1</v>
      </c>
      <c r="AF6" s="3">
        <f>ROUNDDOWN(B37,0)</f>
        <v>11</v>
      </c>
      <c r="AG6" s="2">
        <f>ROUNDDOWN(AB5*AE5+(1-AE6-AD6)*AB6-AF6,0)</f>
        <v>25</v>
      </c>
      <c r="AH6" s="2"/>
      <c r="AI6" s="2">
        <v>0.1</v>
      </c>
      <c r="AJ6" s="2">
        <v>0.09</v>
      </c>
      <c r="AK6" s="12">
        <f>ROUNDDOWN(B42,0)</f>
        <v>3</v>
      </c>
      <c r="AL6" s="9">
        <f>ROUNDDOWN(AG5*AJ5+(1-AJ6-AI6)*AG6-AK6,0)</f>
        <v>25</v>
      </c>
    </row>
    <row r="7" spans="3:38" x14ac:dyDescent="0.3">
      <c r="H7" s="2">
        <v>4</v>
      </c>
      <c r="I7" s="2">
        <v>17.5</v>
      </c>
      <c r="J7" s="3">
        <v>225</v>
      </c>
      <c r="K7" s="3">
        <f>50-B48</f>
        <v>0</v>
      </c>
      <c r="L7" s="3">
        <f t="shared" si="0"/>
        <v>0.17499999999999999</v>
      </c>
      <c r="M7" s="10">
        <v>1000</v>
      </c>
      <c r="N7" s="9"/>
      <c r="O7" s="7">
        <v>0.1</v>
      </c>
      <c r="P7" s="7">
        <v>0.1</v>
      </c>
      <c r="Q7" s="12">
        <f>ROUNDDOWN(B23,0)</f>
        <v>585</v>
      </c>
      <c r="R7" s="14">
        <f>ROUNDDOWN(P6*M6+(1-P7-O7)*M7-Q7,0)</f>
        <v>315</v>
      </c>
      <c r="S7" s="7"/>
      <c r="T7" s="7">
        <v>0.1</v>
      </c>
      <c r="U7" s="7">
        <v>0.1</v>
      </c>
      <c r="V7" s="12">
        <f>ROUNDDOWN(B28,0)</f>
        <v>16</v>
      </c>
      <c r="W7" s="14">
        <f>ROUNDDOWN(R6*U6+(1-U7-T7)*R7-V7,0)</f>
        <v>257</v>
      </c>
      <c r="X7" s="7"/>
      <c r="Y7" s="7">
        <v>0.1</v>
      </c>
      <c r="Z7" s="7">
        <v>0.1</v>
      </c>
      <c r="AA7" s="12">
        <f>ROUNDDOWN(B33,0)</f>
        <v>104</v>
      </c>
      <c r="AB7" s="14">
        <f>ROUNDDOWN(W6*Z6+(1-Z7-Y7)*W7-AA7,0)</f>
        <v>109</v>
      </c>
      <c r="AC7" s="7"/>
      <c r="AD7" s="7">
        <v>0.1</v>
      </c>
      <c r="AE7" s="7">
        <v>0.1</v>
      </c>
      <c r="AF7" s="3">
        <f>ROUNDDOWN(B38,0)</f>
        <v>51</v>
      </c>
      <c r="AG7" s="2">
        <f>ROUNDDOWN(AB6*AE6+(1-AE7-AD7)*AB7-AF7,0)</f>
        <v>38</v>
      </c>
      <c r="AH7" s="2"/>
      <c r="AI7" s="2">
        <v>0.1</v>
      </c>
      <c r="AJ7" s="2">
        <v>0.1</v>
      </c>
      <c r="AK7" s="12">
        <f>ROUNDDOWN(B43,0)</f>
        <v>6</v>
      </c>
      <c r="AL7" s="9">
        <f>ROUNDDOWN(AG6*AJ6+(1-AJ7-AI7)*AG7-AK7,0)</f>
        <v>26</v>
      </c>
    </row>
    <row r="8" spans="3:38" x14ac:dyDescent="0.3">
      <c r="H8" s="2">
        <v>5</v>
      </c>
      <c r="I8" s="2">
        <v>22.5</v>
      </c>
      <c r="J8" s="3">
        <v>250</v>
      </c>
      <c r="K8" s="3">
        <f>25-B49</f>
        <v>0</v>
      </c>
      <c r="L8" s="3">
        <f t="shared" si="0"/>
        <v>0.22500000000000001</v>
      </c>
      <c r="M8" s="10">
        <v>1000</v>
      </c>
      <c r="N8" s="9"/>
      <c r="O8" s="7">
        <v>0.09</v>
      </c>
      <c r="P8" s="7">
        <v>0.1</v>
      </c>
      <c r="Q8" s="12">
        <f>ROUNDDOWN(B24,0)</f>
        <v>271</v>
      </c>
      <c r="R8" s="14">
        <f>ROUNDDOWN(P7*M7+(1-P8-O8)*M8-Q8,0)</f>
        <v>639</v>
      </c>
      <c r="S8" s="7"/>
      <c r="T8" s="7">
        <v>7.0000000000000007E-2</v>
      </c>
      <c r="U8" s="7">
        <v>0.1</v>
      </c>
      <c r="V8" s="12">
        <f>ROUNDDOWN(B29,0)</f>
        <v>63</v>
      </c>
      <c r="W8" s="14">
        <f>ROUNDDOWN(R7*U7+(1-U8-T8)*R8-V8,0)</f>
        <v>498</v>
      </c>
      <c r="X8" s="7"/>
      <c r="Y8" s="7">
        <v>0.1</v>
      </c>
      <c r="Z8" s="7">
        <v>0.1</v>
      </c>
      <c r="AA8" s="12">
        <f>ROUNDDOWN(B34,0)</f>
        <v>254</v>
      </c>
      <c r="AB8" s="14">
        <f>ROUNDDOWN(W7*Z7+(1-Z8-Y8)*W8-AA8,0)</f>
        <v>170</v>
      </c>
      <c r="AC8" s="7"/>
      <c r="AD8" s="7">
        <v>0.1</v>
      </c>
      <c r="AE8" s="7">
        <v>0.08</v>
      </c>
      <c r="AF8" s="3">
        <f>ROUNDDOWN(B39,0)</f>
        <v>139</v>
      </c>
      <c r="AG8" s="2">
        <f>ROUNDDOWN(AB7*AE7+(1-AE8-AD8)*AB8-AF8,0)</f>
        <v>11</v>
      </c>
      <c r="AH8" s="2"/>
      <c r="AI8" s="2">
        <v>0.1</v>
      </c>
      <c r="AJ8" s="2">
        <v>0.1</v>
      </c>
      <c r="AK8" s="12">
        <f>ROUNDDOWN(B44,0)</f>
        <v>5</v>
      </c>
      <c r="AL8" s="9">
        <f>ROUNDDOWN(AG7*AJ7+(1-AJ8-AI8)*AG8-AK8,0)</f>
        <v>7</v>
      </c>
    </row>
    <row r="9" spans="3:38" s="1" customFormat="1" ht="13.8" x14ac:dyDescent="0.3">
      <c r="R9" s="1">
        <f>Q10-Q11</f>
        <v>486446.07843137253</v>
      </c>
      <c r="W9" s="1">
        <f>V10-V11</f>
        <v>86841.599384851987</v>
      </c>
      <c r="AB9" s="1">
        <f>AA10-AA11</f>
        <v>173764.23849047502</v>
      </c>
      <c r="AG9" s="1">
        <f>AF10-AF11</f>
        <v>79958.821622594798</v>
      </c>
      <c r="AL9" s="1">
        <f>AK10-AK11</f>
        <v>118990.3851414052</v>
      </c>
    </row>
    <row r="10" spans="3:38" s="1" customFormat="1" ht="13.8" x14ac:dyDescent="0.3">
      <c r="H10" s="23" t="s">
        <v>1</v>
      </c>
      <c r="I10" s="1">
        <f>SUM(Q10,V10,AA10,AF10,AK10)</f>
        <v>946001.12307069951</v>
      </c>
      <c r="L10" s="1">
        <f>IF(ISNUMBER(I10:I17),1,0)</f>
        <v>1</v>
      </c>
      <c r="O10" s="1">
        <v>0.02</v>
      </c>
      <c r="P10" s="1">
        <f>1/POWER(1+O10,1)</f>
        <v>0.98039215686274506</v>
      </c>
      <c r="Q10" s="1">
        <f>SUMPRODUCT(J4:J8,Q4:Q8)*P10</f>
        <v>486446.07843137253</v>
      </c>
      <c r="R10" s="15">
        <f>_xlfn.STDEV.P(R4:R8)</f>
        <v>373.79962546797719</v>
      </c>
      <c r="U10" s="1">
        <f>1/POWER(1+O10,2)</f>
        <v>0.96116878123798544</v>
      </c>
      <c r="V10" s="1">
        <f>SUMPRODUCT(J4:J8,V4:V8)*U10</f>
        <v>86841.599384851987</v>
      </c>
      <c r="W10" s="15">
        <f>_xlfn.STDEV.P(W4:W8)</f>
        <v>363.19944933878958</v>
      </c>
      <c r="Z10" s="1">
        <f>1/POWER(1+O10,3)</f>
        <v>0.94232233454704462</v>
      </c>
      <c r="AA10" s="1">
        <f>SUMPRODUCT(J4:J8,AA4:AA8)*Z10</f>
        <v>173764.23849047502</v>
      </c>
      <c r="AB10" s="15">
        <f>_xlfn.STDEV.P(AB4:AB8)</f>
        <v>308.25379154196952</v>
      </c>
      <c r="AE10" s="1">
        <f>1/POWER(1+O10,4)</f>
        <v>0.9238454260265142</v>
      </c>
      <c r="AF10" s="1">
        <f>SUMPRODUCT(J4:J8,AF4:AF8)*AE10</f>
        <v>79958.821622594798</v>
      </c>
      <c r="AG10" s="15">
        <f>_xlfn.STDEV.P(AG4:AG8)</f>
        <v>450.87231008346475</v>
      </c>
      <c r="AJ10" s="1">
        <f>1/POWER(1+O10,5)</f>
        <v>0.90573080982991594</v>
      </c>
      <c r="AK10" s="1">
        <f>SUMPRODUCT(J4:J8,AK4:AK8)*AJ10</f>
        <v>118990.3851414052</v>
      </c>
      <c r="AL10" s="15">
        <f>_xlfn.STDEV.P(AL4:AL8)</f>
        <v>260.75843227017606</v>
      </c>
    </row>
    <row r="11" spans="3:38" s="1" customFormat="1" ht="13.8" x14ac:dyDescent="0.3">
      <c r="H11" s="23" t="s">
        <v>2</v>
      </c>
      <c r="I11" s="1">
        <f>SUM(Q11,V11,AA11,AF11,AK11)</f>
        <v>0</v>
      </c>
      <c r="L11" s="1">
        <f>IF(ISNUMBER(SUMPRODUCT(A20:A44:B20:B44:C20:C44)),1,0)</f>
        <v>1</v>
      </c>
      <c r="Q11" s="1">
        <f>SUMPRODUCT(K4:K8,Q4:Q8)*P10</f>
        <v>0</v>
      </c>
      <c r="R11" s="8">
        <f>SUMPRODUCT(R4:R8,L4:L8)</f>
        <v>263.17500000000001</v>
      </c>
      <c r="V11" s="1">
        <f>SUMPRODUCT(K4:K8,V4:V8)*U10</f>
        <v>0</v>
      </c>
      <c r="W11" s="8">
        <f>SUMPRODUCT(W4:W8,L4:L8)</f>
        <v>209.39999999999998</v>
      </c>
      <c r="AA11" s="1">
        <f>SUMPRODUCT(K4:K8,AA4:AA8)*Z10</f>
        <v>0</v>
      </c>
      <c r="AB11" s="8">
        <f>SUMPRODUCT(AB4:AB8,L4:L8)</f>
        <v>96.9</v>
      </c>
      <c r="AF11" s="1">
        <f>SUMPRODUCT(K4:K8,AF4:AF8)*AE10</f>
        <v>0</v>
      </c>
      <c r="AG11" s="8">
        <f>SUMPRODUCT(AG4:AG8,L4:L8)</f>
        <v>47.274999999999999</v>
      </c>
      <c r="AK11" s="1">
        <f>SUMPRODUCT(K4:K8,AK4:AK8)*AJ10</f>
        <v>0</v>
      </c>
      <c r="AL11" s="8">
        <f>SUMPRODUCT(AL4:AL8,L4:L8)</f>
        <v>34.225000000000001</v>
      </c>
    </row>
    <row r="12" spans="3:38" s="1" customFormat="1" ht="13.8" x14ac:dyDescent="0.3">
      <c r="H12" s="23" t="s">
        <v>4</v>
      </c>
      <c r="I12" s="1">
        <f>I10-I11</f>
        <v>946001.12307069951</v>
      </c>
      <c r="J12" s="1">
        <f>I12</f>
        <v>946001.12307069951</v>
      </c>
      <c r="L12" s="1">
        <f>IF(I12&gt;=J12,1,0)</f>
        <v>1</v>
      </c>
      <c r="R12" s="8"/>
    </row>
    <row r="13" spans="3:38" x14ac:dyDescent="0.3">
      <c r="H13" s="23" t="s">
        <v>3</v>
      </c>
      <c r="I13" s="15">
        <f>R10+W10+AB10+AG10+AL10</f>
        <v>1756.8836087023769</v>
      </c>
      <c r="J13" s="1"/>
      <c r="K13" s="21"/>
      <c r="R13" s="8"/>
    </row>
    <row r="14" spans="3:38" x14ac:dyDescent="0.3">
      <c r="H14" s="23" t="s">
        <v>5</v>
      </c>
      <c r="I14" s="1">
        <f>SUM(B20:B44)</f>
        <v>5259</v>
      </c>
      <c r="J14" s="1"/>
      <c r="K14" s="21"/>
      <c r="R14" s="8"/>
    </row>
    <row r="15" spans="3:38" x14ac:dyDescent="0.3">
      <c r="H15" s="24" t="s">
        <v>6</v>
      </c>
      <c r="I15" s="22">
        <f>SUM(R11+W11+AB11+AG11+AL11)</f>
        <v>650.97500000000002</v>
      </c>
      <c r="J15" s="8"/>
      <c r="K15" s="21"/>
      <c r="R15" s="8"/>
    </row>
    <row r="16" spans="3:38" x14ac:dyDescent="0.3">
      <c r="H16" s="24" t="s">
        <v>8</v>
      </c>
      <c r="I16" s="21">
        <f>SUM(Q16,V16,AA16,AF16,AK16)+(N4+S4+X4+AC4+AH4)*5</f>
        <v>469875</v>
      </c>
      <c r="J16" s="21"/>
      <c r="K16" s="21"/>
      <c r="Q16" s="5">
        <f>SUMPRODUCT(Q4:Q8,B45:B49)</f>
        <v>186100</v>
      </c>
      <c r="V16" s="5">
        <f>SUMPRODUCT(V4:V8,B45:B49)</f>
        <v>52650</v>
      </c>
      <c r="AA16" s="5">
        <f>SUMPRODUCT(AA4:AA8,B45:B49)</f>
        <v>83725</v>
      </c>
      <c r="AF16" s="5">
        <f>SUMPRODUCT(AF4:AF8,B45:B49)</f>
        <v>30875</v>
      </c>
      <c r="AK16" s="5">
        <f>SUMPRODUCT(AK4:AK8,B45:B49)</f>
        <v>104025</v>
      </c>
    </row>
    <row r="17" spans="1:13" x14ac:dyDescent="0.3">
      <c r="H17" s="24" t="s">
        <v>9</v>
      </c>
      <c r="I17" s="21"/>
      <c r="J17" s="21"/>
      <c r="K17"/>
    </row>
    <row r="18" spans="1:13" x14ac:dyDescent="0.3">
      <c r="H18" s="16"/>
      <c r="I18" s="16"/>
      <c r="J18" s="16"/>
      <c r="K18" s="17"/>
      <c r="L18" s="17"/>
      <c r="M18" s="17"/>
    </row>
    <row r="19" spans="1:13" x14ac:dyDescent="0.3">
      <c r="H19" s="16"/>
      <c r="I19" s="16"/>
      <c r="J19" s="16"/>
      <c r="K19" s="17"/>
      <c r="L19" s="1"/>
      <c r="M19" s="17"/>
    </row>
    <row r="20" spans="1:13" x14ac:dyDescent="0.3">
      <c r="A20" s="25">
        <v>0</v>
      </c>
      <c r="B20" s="25">
        <v>175</v>
      </c>
      <c r="C20" s="8">
        <f>M4</f>
        <v>1000</v>
      </c>
      <c r="D20" s="25">
        <v>87</v>
      </c>
      <c r="H20" s="16"/>
      <c r="I20" s="16"/>
      <c r="J20" s="16"/>
      <c r="K20" s="17"/>
      <c r="L20" s="17"/>
      <c r="M20" s="17"/>
    </row>
    <row r="21" spans="1:13" x14ac:dyDescent="0.3">
      <c r="A21" s="25">
        <v>0</v>
      </c>
      <c r="B21" s="25">
        <v>778</v>
      </c>
      <c r="C21" s="8">
        <f>M5</f>
        <v>1000</v>
      </c>
      <c r="D21" s="25">
        <v>725</v>
      </c>
      <c r="H21" s="16"/>
      <c r="I21" s="16"/>
      <c r="J21" s="16"/>
      <c r="K21" s="17"/>
      <c r="L21" s="17"/>
      <c r="M21" s="18"/>
    </row>
    <row r="22" spans="1:13" x14ac:dyDescent="0.3">
      <c r="A22" s="25">
        <v>0</v>
      </c>
      <c r="B22" s="25">
        <v>672</v>
      </c>
      <c r="C22" s="8">
        <f t="shared" ref="C22:C24" si="1">M6</f>
        <v>1000</v>
      </c>
      <c r="D22" s="25">
        <v>839</v>
      </c>
      <c r="H22" s="16"/>
      <c r="I22" s="16"/>
      <c r="J22" s="16"/>
      <c r="K22" s="17"/>
      <c r="L22" s="17"/>
      <c r="M22" s="17"/>
    </row>
    <row r="23" spans="1:13" x14ac:dyDescent="0.3">
      <c r="A23" s="25">
        <v>0</v>
      </c>
      <c r="B23" s="25">
        <v>585</v>
      </c>
      <c r="C23" s="8">
        <f t="shared" si="1"/>
        <v>1000</v>
      </c>
      <c r="D23" s="25">
        <v>888</v>
      </c>
      <c r="H23" s="16"/>
      <c r="I23" s="16"/>
      <c r="J23" s="16"/>
      <c r="K23" s="16"/>
      <c r="L23" s="16"/>
      <c r="M23" s="19"/>
    </row>
    <row r="24" spans="1:13" x14ac:dyDescent="0.3">
      <c r="A24" s="25">
        <v>0</v>
      </c>
      <c r="B24" s="25">
        <v>271</v>
      </c>
      <c r="C24" s="8">
        <f t="shared" si="1"/>
        <v>1000</v>
      </c>
      <c r="D24" s="25">
        <v>767</v>
      </c>
      <c r="H24" s="16"/>
      <c r="I24" s="16"/>
      <c r="J24" s="16"/>
      <c r="K24" s="16"/>
      <c r="L24" s="16"/>
      <c r="M24" s="16"/>
    </row>
    <row r="25" spans="1:13" x14ac:dyDescent="0.3">
      <c r="A25" s="25">
        <v>0</v>
      </c>
      <c r="B25" s="25">
        <v>329</v>
      </c>
      <c r="C25" s="8">
        <f>R4</f>
        <v>1145</v>
      </c>
      <c r="D25" s="25">
        <v>414</v>
      </c>
      <c r="H25" s="16"/>
      <c r="I25" s="16"/>
      <c r="J25" s="16"/>
      <c r="K25" s="16"/>
      <c r="L25" s="16"/>
      <c r="M25" s="16"/>
    </row>
    <row r="26" spans="1:13" x14ac:dyDescent="0.3">
      <c r="A26" s="25">
        <v>0</v>
      </c>
      <c r="B26" s="25">
        <v>30</v>
      </c>
      <c r="C26" s="8">
        <f t="shared" ref="C26:C29" si="2">R5</f>
        <v>112</v>
      </c>
      <c r="D26" s="25">
        <v>160</v>
      </c>
    </row>
    <row r="27" spans="1:13" x14ac:dyDescent="0.3">
      <c r="A27" s="25">
        <v>0</v>
      </c>
      <c r="B27" s="25">
        <v>82</v>
      </c>
      <c r="C27" s="8">
        <f t="shared" si="2"/>
        <v>218</v>
      </c>
      <c r="D27" s="25">
        <v>14</v>
      </c>
    </row>
    <row r="28" spans="1:13" x14ac:dyDescent="0.3">
      <c r="A28" s="25">
        <v>0</v>
      </c>
      <c r="B28" s="25">
        <v>16</v>
      </c>
      <c r="C28" s="8">
        <f t="shared" si="2"/>
        <v>315</v>
      </c>
      <c r="D28" s="25">
        <v>7</v>
      </c>
    </row>
    <row r="29" spans="1:13" x14ac:dyDescent="0.3">
      <c r="A29" s="25">
        <v>0</v>
      </c>
      <c r="B29" s="25">
        <v>63</v>
      </c>
      <c r="C29" s="8">
        <f t="shared" si="2"/>
        <v>639</v>
      </c>
      <c r="D29" s="25">
        <v>107</v>
      </c>
    </row>
    <row r="30" spans="1:13" x14ac:dyDescent="0.3">
      <c r="A30" s="25">
        <v>0</v>
      </c>
      <c r="B30" s="25">
        <v>498</v>
      </c>
      <c r="C30" s="8">
        <f>W4</f>
        <v>1098</v>
      </c>
      <c r="D30" s="25">
        <v>1026</v>
      </c>
    </row>
    <row r="31" spans="1:13" x14ac:dyDescent="0.3">
      <c r="A31" s="25">
        <v>0</v>
      </c>
      <c r="B31" s="25">
        <v>40</v>
      </c>
      <c r="C31" s="8">
        <f t="shared" ref="C31:C34" si="3">W5</f>
        <v>164</v>
      </c>
      <c r="D31" s="25">
        <v>9</v>
      </c>
    </row>
    <row r="32" spans="1:13" x14ac:dyDescent="0.3">
      <c r="A32" s="25">
        <v>0</v>
      </c>
      <c r="B32" s="25">
        <v>79</v>
      </c>
      <c r="C32" s="8">
        <f t="shared" si="3"/>
        <v>101</v>
      </c>
      <c r="D32" s="25">
        <v>21</v>
      </c>
    </row>
    <row r="33" spans="1:4" x14ac:dyDescent="0.3">
      <c r="A33" s="25">
        <v>0</v>
      </c>
      <c r="B33" s="25">
        <v>104</v>
      </c>
      <c r="C33" s="8">
        <f t="shared" si="3"/>
        <v>257</v>
      </c>
      <c r="D33" s="25">
        <v>3</v>
      </c>
    </row>
    <row r="34" spans="1:4" x14ac:dyDescent="0.3">
      <c r="A34" s="25">
        <v>0</v>
      </c>
      <c r="B34" s="25">
        <v>254</v>
      </c>
      <c r="C34" s="8">
        <f t="shared" si="3"/>
        <v>498</v>
      </c>
      <c r="D34" s="25">
        <v>4</v>
      </c>
    </row>
    <row r="35" spans="1:4" x14ac:dyDescent="0.3">
      <c r="A35" s="25">
        <v>0</v>
      </c>
      <c r="B35" s="25">
        <v>57</v>
      </c>
      <c r="C35" s="8">
        <f>AB4</f>
        <v>880</v>
      </c>
      <c r="D35" s="25">
        <v>182</v>
      </c>
    </row>
    <row r="36" spans="1:4" x14ac:dyDescent="0.3">
      <c r="A36" s="25">
        <v>0</v>
      </c>
      <c r="B36" s="25">
        <v>169</v>
      </c>
      <c r="C36" s="8">
        <f t="shared" ref="C36:C39" si="4">AB5</f>
        <v>201</v>
      </c>
      <c r="D36" s="25">
        <v>146</v>
      </c>
    </row>
    <row r="37" spans="1:4" x14ac:dyDescent="0.3">
      <c r="A37" s="25">
        <v>0</v>
      </c>
      <c r="B37" s="25">
        <v>11</v>
      </c>
      <c r="C37" s="8">
        <f t="shared" si="4"/>
        <v>20</v>
      </c>
      <c r="D37" s="25">
        <v>19</v>
      </c>
    </row>
    <row r="38" spans="1:4" x14ac:dyDescent="0.3">
      <c r="A38" s="25">
        <v>0</v>
      </c>
      <c r="B38" s="25">
        <v>51</v>
      </c>
      <c r="C38" s="8">
        <f t="shared" si="4"/>
        <v>109</v>
      </c>
      <c r="D38" s="25">
        <v>5</v>
      </c>
    </row>
    <row r="39" spans="1:4" x14ac:dyDescent="0.3">
      <c r="A39" s="25">
        <v>0</v>
      </c>
      <c r="B39" s="25">
        <v>139</v>
      </c>
      <c r="C39" s="8">
        <f t="shared" si="4"/>
        <v>170</v>
      </c>
      <c r="D39" s="25">
        <v>0</v>
      </c>
    </row>
    <row r="40" spans="1:4" x14ac:dyDescent="0.3">
      <c r="A40" s="25">
        <v>0</v>
      </c>
      <c r="B40" s="25">
        <v>767</v>
      </c>
      <c r="C40" s="1">
        <f>AG4</f>
        <v>1164</v>
      </c>
      <c r="D40" s="25">
        <v>488</v>
      </c>
    </row>
    <row r="41" spans="1:4" x14ac:dyDescent="0.3">
      <c r="A41" s="25">
        <v>0</v>
      </c>
      <c r="B41" s="25">
        <v>75</v>
      </c>
      <c r="C41" s="1">
        <f t="shared" ref="C41:C44" si="5">AG5</f>
        <v>79</v>
      </c>
      <c r="D41" s="25">
        <v>10</v>
      </c>
    </row>
    <row r="42" spans="1:4" x14ac:dyDescent="0.3">
      <c r="A42" s="25">
        <v>0</v>
      </c>
      <c r="B42" s="25">
        <v>3</v>
      </c>
      <c r="C42" s="1">
        <f t="shared" si="5"/>
        <v>25</v>
      </c>
      <c r="D42" s="25">
        <v>9</v>
      </c>
    </row>
    <row r="43" spans="1:4" x14ac:dyDescent="0.3">
      <c r="A43" s="25">
        <v>0</v>
      </c>
      <c r="B43" s="25">
        <v>6</v>
      </c>
      <c r="C43" s="1">
        <f t="shared" si="5"/>
        <v>38</v>
      </c>
      <c r="D43" s="25">
        <v>0</v>
      </c>
    </row>
    <row r="44" spans="1:4" x14ac:dyDescent="0.3">
      <c r="A44" s="25">
        <v>0</v>
      </c>
      <c r="B44" s="25">
        <v>5</v>
      </c>
      <c r="C44" s="1">
        <f t="shared" si="5"/>
        <v>11</v>
      </c>
      <c r="D44" s="25">
        <v>2</v>
      </c>
    </row>
    <row r="45" spans="1:4" x14ac:dyDescent="0.3">
      <c r="A45" s="25">
        <v>0</v>
      </c>
      <c r="B45" s="1">
        <v>125</v>
      </c>
      <c r="C45" s="1">
        <v>125</v>
      </c>
      <c r="D45" s="25"/>
    </row>
    <row r="46" spans="1:4" x14ac:dyDescent="0.3">
      <c r="A46" s="25">
        <v>0</v>
      </c>
      <c r="B46" s="1">
        <v>100</v>
      </c>
      <c r="C46" s="1">
        <v>100</v>
      </c>
      <c r="D46" s="25"/>
    </row>
    <row r="47" spans="1:4" x14ac:dyDescent="0.3">
      <c r="A47" s="25">
        <v>0</v>
      </c>
      <c r="B47" s="1">
        <v>75</v>
      </c>
      <c r="C47" s="1">
        <v>75</v>
      </c>
      <c r="D47" s="25"/>
    </row>
    <row r="48" spans="1:4" x14ac:dyDescent="0.3">
      <c r="A48" s="25">
        <v>0</v>
      </c>
      <c r="B48" s="1">
        <v>50</v>
      </c>
      <c r="C48" s="1">
        <v>50</v>
      </c>
      <c r="D48" s="25"/>
    </row>
    <row r="49" spans="1:4" x14ac:dyDescent="0.3">
      <c r="A49" s="25">
        <v>0</v>
      </c>
      <c r="B49" s="1">
        <v>25</v>
      </c>
      <c r="C49" s="1">
        <v>25</v>
      </c>
      <c r="D49" s="25"/>
    </row>
  </sheetData>
  <sortState ref="H5:H8">
    <sortCondition ref="H4"/>
  </sortSt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2023-05-06T19:03:11Z</dcterms:modified>
</cp:coreProperties>
</file>